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Lot_Allocation_Master" sheetId="2" r:id="rId2"/>
    <sheet name="Stage_Pricing_Ladder" sheetId="3" r:id="rId3"/>
    <sheet name="Offtaker_Summary" sheetId="4" r:id="rId4"/>
    <sheet name="Dwelling_Types" sheetId="5" r:id="rId5"/>
    <sheet name="Audit_Log" sheetId="6" r:id="rId6"/>
    <sheet name="DA_Reconciliation_Lo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\$#,##0;&quot;($&quot;#,##0\);\-"/>
    <numFmt numFmtId="165" formatCode="\$#,##0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 rightToLeft="0"/>
  </sheetViews>
  <sheetData>
    <row r="1">
      <c r="A1" t="str">
        <v>Seafields Estate — Lot Allocation Master</v>
      </c>
    </row>
    <row r="2">
      <c r="A2" t="str">
        <v>Working document for launch admin and lot-level allocations</v>
      </c>
    </row>
    <row r="4">
      <c r="A4" t="str">
        <v>PURPOSE</v>
      </c>
    </row>
    <row r="6">
      <c r="A6" t="str">
        <v>This workbook is the single source of truth for lot-level data driving the Seafields launch.</v>
      </c>
    </row>
    <row r="8">
      <c r="A8" t="str">
        <v>It serves three audiences:</v>
      </c>
    </row>
    <row r="9">
      <c r="A9" t="str">
        <v xml:space="preserve">   • Uwe — fills in the knowledge in his head: which lots go to whom, what dwelling type, what price.</v>
      </c>
    </row>
    <row r="10">
      <c r="A10" t="str">
        <v xml:space="preserve">   • Tanveer — uses as the admin reference when allocating lots on the live website.</v>
      </c>
    </row>
    <row r="11">
      <c r="A11" t="str">
        <v xml:space="preserve">   • The website — the Lot_Allocation_Master sheet exports directly to the site data layer.</v>
      </c>
    </row>
    <row r="13">
      <c r="A13" t="str">
        <v>If a field is wrong here, it will be wrong on the site. Treat this as the authoritative record.</v>
      </c>
    </row>
    <row r="16">
      <c r="A16" t="str">
        <v>COLOUR CODING</v>
      </c>
    </row>
    <row r="18">
      <c r="A18" t="str">
        <v>Yellow fill, blue text</v>
      </c>
      <c r="B18" t="str">
        <v>Input field — Uwe to fill</v>
      </c>
    </row>
    <row r="19">
      <c r="A19" t="str">
        <v>Pink fill, red bold text</v>
      </c>
      <c r="B19" t="str">
        <v>CRITICAL input — must be answered before launch</v>
      </c>
    </row>
    <row r="20">
      <c r="A20" t="str">
        <v>Grey fill</v>
      </c>
      <c r="B20" t="str">
        <v>Derived / locked — do not edit (calculated or set elsewhere)</v>
      </c>
    </row>
    <row r="21">
      <c r="A21" t="str">
        <v>White, black text</v>
      </c>
      <c r="B21" t="str">
        <v>Formula cell — recalculates automatically</v>
      </c>
    </row>
    <row r="24">
      <c r="A24" t="str">
        <v>INSTRUCTIONS FOR UWE</v>
      </c>
    </row>
    <row r="26">
      <c r="A26" t="str">
        <v>1. Open the "Lot_Allocation_Master" sheet. Yellow cells are yours to complete.</v>
      </c>
    </row>
    <row r="27">
      <c r="A27" t="str">
        <v>2. Pink cells are the priority — these block the website launch if unanswered.</v>
      </c>
    </row>
    <row r="28">
      <c r="A28" t="str">
        <v>3. The pre-filled lot numbers, sizes, and stage assignments are pulled from the V6 lot register</v>
      </c>
    </row>
    <row r="29">
      <c r="A29" t="str">
        <v xml:space="preserve">   and the current website staging. If you see something wrong, flag it in the "Notes" column.</v>
      </c>
    </row>
    <row r="30">
      <c r="A30" t="str">
        <v>4. For each lot, tell us:</v>
      </c>
    </row>
    <row r="31">
      <c r="A31" t="str">
        <v xml:space="preserve">       (a) WHO it is allocated to (GROH / Baurimus / Takken / Public / Withheld)</v>
      </c>
    </row>
    <row r="32">
      <c r="A32" t="str">
        <v xml:space="preserve">       (b) WHAT goes on it — bare land only, or a specific dwelling from the Dwelling_Types catalogue</v>
      </c>
    </row>
    <row r="33">
      <c r="A33" t="str">
        <v xml:space="preserve">       (c) WHICH STAGE it sits in (confirm or correct the pre-fill)</v>
      </c>
    </row>
    <row r="34">
      <c r="A34" t="str">
        <v xml:space="preserve">       (d) Any wholesale/institutional price override for non-public allocations</v>
      </c>
    </row>
    <row r="35">
      <c r="A35" t="str">
        <v>5. Open the "Stage_Pricing_Ladder" sheet and set the per-m² rate for each stage.</v>
      </c>
    </row>
    <row r="36">
      <c r="A36" t="str">
        <v>6. Open the "Dwelling_Types" sheet and add any house plans we should be marketing.</v>
      </c>
    </row>
    <row r="37">
      <c r="A37" t="str">
        <v>7. Save and email back to Dennis. Tanveer will use this as the live admin reference.</v>
      </c>
    </row>
    <row r="40">
      <c r="A40" t="str">
        <v>INSTRUCTIONS FOR TANVEER</v>
      </c>
    </row>
    <row r="42">
      <c r="A42" t="str">
        <v>1. The "Lot_Allocation_Master" sheet is your live reference when allocating lots on the site.</v>
      </c>
    </row>
    <row r="43">
      <c r="A43" t="str">
        <v>2. For each public registration that comes in, check:</v>
      </c>
    </row>
    <row r="44">
      <c r="A44" t="str">
        <v xml:space="preserve">       - Is this lot Available, Reserved, or Withheld?</v>
      </c>
    </row>
    <row r="45">
      <c r="A45" t="str">
        <v xml:space="preserve">       - If Reserved — to whom, and at what stage? Do not release without Uwe / Dennis sign-off.</v>
      </c>
    </row>
    <row r="46">
      <c r="A46" t="str">
        <v xml:space="preserve">       - If a registrant requests "lock in," refer to the lock-in workflow document (separate).</v>
      </c>
    </row>
    <row r="47">
      <c r="A47" t="str">
        <v>3. When you change a lot status on the site, update the "Status" column here in the same session.</v>
      </c>
    </row>
    <row r="48">
      <c r="A48" t="str">
        <v>4. Log all changes in the Audit_Log sheet (date, lot, change, reason, who).</v>
      </c>
    </row>
  </sheetData>
  <mergeCells count="40">
    <mergeCell ref="A44:F44"/>
    <mergeCell ref="A45:F45"/>
    <mergeCell ref="A46:F46"/>
    <mergeCell ref="A47:F47"/>
    <mergeCell ref="A48:F48"/>
    <mergeCell ref="A37:F37"/>
    <mergeCell ref="A40:F40"/>
    <mergeCell ref="A41:F41"/>
    <mergeCell ref="A42:F42"/>
    <mergeCell ref="A43:F43"/>
    <mergeCell ref="A32:F32"/>
    <mergeCell ref="A33:F33"/>
    <mergeCell ref="A34:F34"/>
    <mergeCell ref="A35:F35"/>
    <mergeCell ref="A36:F36"/>
    <mergeCell ref="A27:F27"/>
    <mergeCell ref="A28:F28"/>
    <mergeCell ref="A29:F29"/>
    <mergeCell ref="A30:F30"/>
    <mergeCell ref="A31:F31"/>
    <mergeCell ref="B20:F20"/>
    <mergeCell ref="B21:F21"/>
    <mergeCell ref="A24:F24"/>
    <mergeCell ref="A25:F25"/>
    <mergeCell ref="A26:F26"/>
    <mergeCell ref="A12:F12"/>
    <mergeCell ref="A13:F13"/>
    <mergeCell ref="A16:F16"/>
    <mergeCell ref="B18:F18"/>
    <mergeCell ref="B19:F19"/>
    <mergeCell ref="A7:F7"/>
    <mergeCell ref="A8:F8"/>
    <mergeCell ref="A9:F9"/>
    <mergeCell ref="A10:F10"/>
    <mergeCell ref="A11:F11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ignoredErrors>
    <ignoredError numberStoredAsText="1" sqref="A1:F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47"/>
  <sheetViews>
    <sheetView workbookViewId="0" rightToLeft="0"/>
  </sheetViews>
  <sheetData>
    <row r="1">
      <c r="A1" t="str">
        <v>LOT ALLOCATION MASTER — V2 reconciled to 08B/V6. Yellow = Uwe input. Pink = priority. Grey = derived. DA Reconciliation Notes column documents per-row changes.</v>
      </c>
    </row>
    <row r="2">
      <c r="A2" t="str">
        <v>Lot #</v>
      </c>
      <c r="B2" t="str">
        <v>Area (m²)</v>
      </c>
      <c r="C2" t="str">
        <v>Category</v>
      </c>
      <c r="D2" t="str">
        <v>Zone / Block</v>
      </c>
      <c r="E2" t="str">
        <v>Stage</v>
      </c>
      <c r="F2" t="str">
        <v>Status</v>
      </c>
      <c r="G2" t="str">
        <v>Allocated To</v>
      </c>
      <c r="H2" t="str">
        <v>Dwelling Type</v>
      </c>
      <c r="I2" t="str">
        <v>Land Only? (Y/N)</v>
      </c>
      <c r="J2" t="str">
        <v>Land $/m² Override</v>
      </c>
      <c r="K2" t="str">
        <v>Calc Land $</v>
      </c>
      <c r="L2" t="str">
        <v>House $ (if H&amp;L)</v>
      </c>
      <c r="M2" t="str">
        <v>Total H&amp;L $</v>
      </c>
      <c r="N2" t="str">
        <v>Display Price?</v>
      </c>
      <c r="O2" t="str">
        <v>Public Label</v>
      </c>
      <c r="P2" t="str">
        <v>Notes / Uwe Comments</v>
      </c>
      <c r="Q2" t="str">
        <v>DA Reconciliation Notes</v>
      </c>
    </row>
    <row r="3">
      <c r="A3">
        <v>332</v>
      </c>
      <c r="B3">
        <v>690</v>
      </c>
      <c r="C3" t="str">
        <v>Large</v>
      </c>
      <c r="D3" t="str">
        <v>Pepper Gate West / SW Block</v>
      </c>
      <c r="E3" t="str">
        <v>Stage 1</v>
      </c>
      <c r="F3" t="str">
        <v>Available</v>
      </c>
      <c r="G3" t="str">
        <v>Public</v>
      </c>
      <c r="I3" t="str">
        <v>Y</v>
      </c>
      <c r="N3" t="str">
        <v>Y</v>
      </c>
      <c r="Q3" t="str">
        <v>Geometry amended in 08B WAPC202888 overlay</v>
      </c>
    </row>
    <row r="4">
      <c r="A4">
        <v>333</v>
      </c>
      <c r="B4">
        <v>537</v>
      </c>
      <c r="C4" t="str">
        <v>Standard</v>
      </c>
      <c r="D4" t="str">
        <v>Pepper Gate West / SW Block</v>
      </c>
      <c r="E4" t="str">
        <v>Stage 1</v>
      </c>
      <c r="F4" t="str">
        <v>Available</v>
      </c>
      <c r="G4" t="str">
        <v>Public</v>
      </c>
      <c r="I4" t="str">
        <v>Y</v>
      </c>
      <c r="N4" t="str">
        <v>Y</v>
      </c>
      <c r="Q4" t="str">
        <v>Area corrected 680 → 537 m² (V6 polygon); Geometry amended in 08B WAPC202888 overlay</v>
      </c>
    </row>
    <row r="5">
      <c r="A5">
        <v>334</v>
      </c>
      <c r="B5">
        <v>613</v>
      </c>
      <c r="C5" t="str">
        <v>Large</v>
      </c>
      <c r="D5" t="str">
        <v>Pepper Gate West / SW Block</v>
      </c>
      <c r="E5" t="str">
        <v>Stage 1</v>
      </c>
      <c r="F5" t="str">
        <v>Available</v>
      </c>
      <c r="G5" t="str">
        <v>Public</v>
      </c>
      <c r="I5" t="str">
        <v>Y</v>
      </c>
      <c r="N5" t="str">
        <v>Y</v>
      </c>
      <c r="Q5" t="str">
        <v>Area corrected 670 → 613 m² (V6 polygon)</v>
      </c>
    </row>
    <row r="6">
      <c r="A6">
        <v>335</v>
      </c>
      <c r="B6">
        <v>596</v>
      </c>
      <c r="C6" t="str">
        <v>Standard</v>
      </c>
      <c r="D6" t="str">
        <v>Pepper Gate West / SW Block</v>
      </c>
      <c r="E6" t="str">
        <v>Stage 1</v>
      </c>
      <c r="F6" t="str">
        <v>Available</v>
      </c>
      <c r="G6" t="str">
        <v>Public</v>
      </c>
      <c r="I6" t="str">
        <v>Y</v>
      </c>
      <c r="N6" t="str">
        <v>Y</v>
      </c>
      <c r="Q6" t="str">
        <v>Area corrected 660 → 596 m² (V6 polygon)</v>
      </c>
    </row>
    <row r="7">
      <c r="A7">
        <v>336</v>
      </c>
      <c r="B7">
        <v>643</v>
      </c>
      <c r="C7" t="str">
        <v>Large</v>
      </c>
      <c r="D7" t="str">
        <v>Pepper Gate West / SW Block</v>
      </c>
      <c r="E7" t="str">
        <v>Stage 1</v>
      </c>
      <c r="F7" t="str">
        <v>Available</v>
      </c>
      <c r="G7" t="str">
        <v>Public</v>
      </c>
      <c r="I7" t="str">
        <v>Y</v>
      </c>
      <c r="N7" t="str">
        <v>Y</v>
      </c>
      <c r="Q7" t="str">
        <v>Area corrected 650 → 643 m² (V6 polygon)</v>
      </c>
    </row>
    <row r="8">
      <c r="A8">
        <v>337</v>
      </c>
      <c r="B8">
        <v>570</v>
      </c>
      <c r="C8" t="str">
        <v>Standard</v>
      </c>
      <c r="D8" t="str">
        <v>Pepper Gate West / SW Block</v>
      </c>
      <c r="E8" t="str">
        <v>Stage 1</v>
      </c>
      <c r="F8" t="str">
        <v>Available</v>
      </c>
      <c r="G8" t="str">
        <v>Public</v>
      </c>
      <c r="I8" t="str">
        <v>Y</v>
      </c>
      <c r="N8" t="str">
        <v>Y</v>
      </c>
      <c r="Q8" t="str">
        <v>Area corrected 640 → 570 m² (V6 polygon)</v>
      </c>
    </row>
    <row r="9">
      <c r="A9">
        <v>338</v>
      </c>
      <c r="B9">
        <v>570</v>
      </c>
      <c r="C9" t="str">
        <v>Standard</v>
      </c>
      <c r="D9" t="str">
        <v>Pepper Gate West / SW Block</v>
      </c>
      <c r="E9" t="str">
        <v>Stage 1</v>
      </c>
      <c r="F9" t="str">
        <v>Available</v>
      </c>
      <c r="G9" t="str">
        <v>Public</v>
      </c>
      <c r="I9" t="str">
        <v>Y</v>
      </c>
      <c r="N9" t="str">
        <v>Y</v>
      </c>
      <c r="Q9" t="str">
        <v>Area corrected 630 → 570 m² (V6 polygon)</v>
      </c>
    </row>
    <row r="10">
      <c r="A10">
        <v>339</v>
      </c>
      <c r="B10">
        <v>570</v>
      </c>
      <c r="C10" t="str">
        <v>Standard</v>
      </c>
      <c r="D10" t="str">
        <v>Pepper Gate West / SW Block</v>
      </c>
      <c r="E10" t="str">
        <v>Stage 1</v>
      </c>
      <c r="F10" t="str">
        <v>Available</v>
      </c>
      <c r="G10" t="str">
        <v>Public</v>
      </c>
      <c r="I10" t="str">
        <v>Y</v>
      </c>
      <c r="N10" t="str">
        <v>Y</v>
      </c>
      <c r="Q10" t="str">
        <v>Area corrected 620 → 570 m² (V6 polygon)</v>
      </c>
    </row>
    <row r="11">
      <c r="A11">
        <v>340</v>
      </c>
      <c r="B11">
        <v>570</v>
      </c>
      <c r="C11" t="str">
        <v>Standard</v>
      </c>
      <c r="D11" t="str">
        <v>Pepper Gate West / SW Block</v>
      </c>
      <c r="E11" t="str">
        <v>Stage 1</v>
      </c>
      <c r="F11" t="str">
        <v>Available</v>
      </c>
      <c r="G11" t="str">
        <v>Public</v>
      </c>
      <c r="I11" t="str">
        <v>Y</v>
      </c>
      <c r="N11" t="str">
        <v>Y</v>
      </c>
      <c r="Q11" t="str">
        <v>Area corrected 610 → 570 m² (V6 polygon)</v>
      </c>
    </row>
    <row r="12">
      <c r="A12">
        <v>341</v>
      </c>
      <c r="B12">
        <v>646</v>
      </c>
      <c r="C12" t="str">
        <v>Large</v>
      </c>
      <c r="D12" t="str">
        <v>Pepper Gate West / SW Block</v>
      </c>
      <c r="E12" t="str">
        <v>Stage 1</v>
      </c>
      <c r="F12" t="str">
        <v>Available</v>
      </c>
      <c r="G12" t="str">
        <v>Public</v>
      </c>
      <c r="I12" t="str">
        <v>Y</v>
      </c>
      <c r="N12" t="str">
        <v>Y</v>
      </c>
      <c r="Q12" t="str">
        <v>Area corrected 600 → 646 m² (V6 polygon)</v>
      </c>
    </row>
    <row r="13">
      <c r="A13">
        <v>342</v>
      </c>
      <c r="B13">
        <v>646</v>
      </c>
      <c r="C13" t="str">
        <v>Large</v>
      </c>
      <c r="D13" t="str">
        <v>Pepper Gate West / SW Block</v>
      </c>
      <c r="E13" t="str">
        <v>Stage 1</v>
      </c>
      <c r="F13" t="str">
        <v>Available</v>
      </c>
      <c r="G13" t="str">
        <v>Public</v>
      </c>
      <c r="I13" t="str">
        <v>Y</v>
      </c>
      <c r="N13" t="str">
        <v>Y</v>
      </c>
      <c r="Q13" t="str">
        <v>Area corrected 590 → 646 m² (V6 polygon)</v>
      </c>
    </row>
    <row r="14">
      <c r="A14">
        <v>343</v>
      </c>
      <c r="B14">
        <v>666</v>
      </c>
      <c r="C14" t="str">
        <v>Large</v>
      </c>
      <c r="D14" t="str">
        <v>Pepper Gate West / SW Block</v>
      </c>
      <c r="E14" t="str">
        <v>Stage 1</v>
      </c>
      <c r="F14" t="str">
        <v>Available</v>
      </c>
      <c r="G14" t="str">
        <v>Public</v>
      </c>
      <c r="I14" t="str">
        <v>Y</v>
      </c>
      <c r="N14" t="str">
        <v>Y</v>
      </c>
      <c r="Q14" t="str">
        <v>Area corrected 580 → 666 m² (V6 polygon)</v>
      </c>
    </row>
    <row r="15">
      <c r="A15">
        <v>344</v>
      </c>
      <c r="B15">
        <v>666</v>
      </c>
      <c r="C15" t="str">
        <v>Large</v>
      </c>
      <c r="D15" t="str">
        <v>Pepper Gate West / SW Block</v>
      </c>
      <c r="E15" t="str">
        <v>Stage 1</v>
      </c>
      <c r="F15" t="str">
        <v>Available</v>
      </c>
      <c r="G15" t="str">
        <v>Public</v>
      </c>
      <c r="I15" t="str">
        <v>Y</v>
      </c>
      <c r="N15" t="str">
        <v>Y</v>
      </c>
      <c r="Q15" t="str">
        <v>Area corrected 570 → 666 m² (V6 polygon)</v>
      </c>
    </row>
    <row r="16">
      <c r="A16">
        <v>345</v>
      </c>
      <c r="B16">
        <v>646</v>
      </c>
      <c r="C16" t="str">
        <v>Large</v>
      </c>
      <c r="D16" t="str">
        <v>Pepper Gate West / SW Block</v>
      </c>
      <c r="E16" t="str">
        <v>Stage 1</v>
      </c>
      <c r="F16" t="str">
        <v>Available</v>
      </c>
      <c r="G16" t="str">
        <v>Public</v>
      </c>
      <c r="I16" t="str">
        <v>Y</v>
      </c>
      <c r="N16" t="str">
        <v>Y</v>
      </c>
      <c r="Q16" t="str">
        <v>Area corrected 560 → 646 m² (V6 polygon)</v>
      </c>
    </row>
    <row r="17">
      <c r="A17">
        <v>346</v>
      </c>
      <c r="B17">
        <v>646</v>
      </c>
      <c r="C17" t="str">
        <v>Large</v>
      </c>
      <c r="D17" t="str">
        <v>Pepper Gate West / SW Block</v>
      </c>
      <c r="E17" t="str">
        <v>Stage 1</v>
      </c>
      <c r="F17" t="str">
        <v>Available</v>
      </c>
      <c r="G17" t="str">
        <v>Public</v>
      </c>
      <c r="I17" t="str">
        <v>Y</v>
      </c>
      <c r="N17" t="str">
        <v>Y</v>
      </c>
      <c r="Q17" t="str">
        <v>Area corrected 550 → 646 m² (V6 polygon)</v>
      </c>
    </row>
    <row r="18">
      <c r="A18">
        <v>347</v>
      </c>
      <c r="B18">
        <v>570</v>
      </c>
      <c r="C18" t="str">
        <v>Standard</v>
      </c>
      <c r="D18" t="str">
        <v>Pepper Gate West / SW Block</v>
      </c>
      <c r="E18" t="str">
        <v>Stage 1</v>
      </c>
      <c r="F18" t="str">
        <v>Available</v>
      </c>
      <c r="G18" t="str">
        <v>Public</v>
      </c>
      <c r="I18" t="str">
        <v>Y</v>
      </c>
      <c r="N18" t="str">
        <v>Y</v>
      </c>
      <c r="Q18" t="str">
        <v>Area corrected 540 → 570 m² (V6 polygon)</v>
      </c>
    </row>
    <row r="19">
      <c r="A19">
        <v>348</v>
      </c>
      <c r="B19">
        <v>570</v>
      </c>
      <c r="C19" t="str">
        <v>Standard</v>
      </c>
      <c r="D19" t="str">
        <v>Pepper Gate West / SW Block</v>
      </c>
      <c r="E19" t="str">
        <v>Stage 1</v>
      </c>
      <c r="F19" t="str">
        <v>Available</v>
      </c>
      <c r="G19" t="str">
        <v>Public</v>
      </c>
      <c r="I19" t="str">
        <v>Y</v>
      </c>
      <c r="N19" t="str">
        <v>Y</v>
      </c>
      <c r="Q19" t="str">
        <v>Area corrected 530 → 570 m² (V6 polygon); Duplicate polygon (idSuffix=a); pending CLE renumber</v>
      </c>
    </row>
    <row r="20">
      <c r="A20">
        <v>348</v>
      </c>
      <c r="B20">
        <v>570</v>
      </c>
      <c r="C20" t="str">
        <v>Standard</v>
      </c>
      <c r="D20" t="str">
        <v>Pepper Gate West / SW Block</v>
      </c>
      <c r="E20" t="str">
        <v>Stage 1</v>
      </c>
      <c r="F20" t="str">
        <v>Available</v>
      </c>
      <c r="G20" t="str">
        <v>Public</v>
      </c>
      <c r="I20" t="str">
        <v>Y</v>
      </c>
      <c r="N20" t="str">
        <v>Y</v>
      </c>
      <c r="Q20" t="str">
        <v>Area corrected 530 → 570 m² (V6 polygon); Duplicate polygon (idSuffix=b); pending CLE renumber</v>
      </c>
    </row>
    <row r="21">
      <c r="A21">
        <v>350</v>
      </c>
      <c r="B21">
        <v>570</v>
      </c>
      <c r="C21" t="str">
        <v>Standard</v>
      </c>
      <c r="D21" t="str">
        <v>Pepper Gate West / SW Block</v>
      </c>
      <c r="E21" t="str">
        <v>Stage 1</v>
      </c>
      <c r="F21" t="str">
        <v>Available</v>
      </c>
      <c r="G21" t="str">
        <v>Public</v>
      </c>
      <c r="I21" t="str">
        <v>Y</v>
      </c>
      <c r="N21" t="str">
        <v>Y</v>
      </c>
      <c r="Q21" t="str">
        <v>Area corrected 510 → 570 m² (V6 polygon)</v>
      </c>
    </row>
    <row r="22">
      <c r="A22">
        <v>351</v>
      </c>
      <c r="B22">
        <v>646</v>
      </c>
      <c r="C22" t="str">
        <v>Large</v>
      </c>
      <c r="D22" t="str">
        <v>Pepper Gate West / SW Block</v>
      </c>
      <c r="E22" t="str">
        <v>Stage 1</v>
      </c>
      <c r="F22" t="str">
        <v>Available</v>
      </c>
      <c r="G22" t="str">
        <v>Public</v>
      </c>
      <c r="I22" t="str">
        <v>Y</v>
      </c>
      <c r="N22" t="str">
        <v>Y</v>
      </c>
      <c r="Q22" t="str">
        <v>Area corrected 500 → 646 m² (V6 polygon)</v>
      </c>
    </row>
    <row r="23">
      <c r="A23">
        <v>323</v>
      </c>
      <c r="B23">
        <v>1522</v>
      </c>
      <c r="C23" t="str">
        <v>Heritage</v>
      </c>
      <c r="D23" t="str">
        <v>Central — Heritage Lot</v>
      </c>
      <c r="E23" t="str">
        <v>Stage 2</v>
      </c>
      <c r="F23" t="str">
        <v>Withheld</v>
      </c>
      <c r="G23" t="str">
        <v>Heritage Retained</v>
      </c>
      <c r="I23" t="str">
        <v>N</v>
      </c>
      <c r="N23" t="str">
        <v>N</v>
      </c>
      <c r="Q23" t="str">
        <v>Zone corrected "Central — Heritage Lot" → "Central"; Heritage reclassification per V6</v>
      </c>
    </row>
    <row r="24">
      <c r="A24">
        <v>308</v>
      </c>
      <c r="B24">
        <v>685</v>
      </c>
      <c r="C24" t="str">
        <v>Large</v>
      </c>
      <c r="D24" t="str">
        <v>Central</v>
      </c>
      <c r="E24" t="str">
        <v>Stage 3</v>
      </c>
      <c r="F24" t="str">
        <v>Available</v>
      </c>
      <c r="G24" t="str">
        <v>Public</v>
      </c>
      <c r="I24" t="str">
        <v>Y</v>
      </c>
      <c r="N24" t="str">
        <v>Y</v>
      </c>
      <c r="Q24" t="str">
        <v>Stage corrected Stage 4 → Stage 3; Area corrected 700 → 685 m² (V6 polygon); Zone corrected "East" → "Central"; Geometry amended in 08B WAPC202888 overlay</v>
      </c>
    </row>
    <row r="25">
      <c r="A25">
        <v>309</v>
      </c>
      <c r="B25">
        <v>614</v>
      </c>
      <c r="C25" t="str">
        <v>Large</v>
      </c>
      <c r="D25" t="str">
        <v>Central</v>
      </c>
      <c r="E25" t="str">
        <v>Stage 3</v>
      </c>
      <c r="F25" t="str">
        <v>Available</v>
      </c>
      <c r="G25" t="str">
        <v>Public</v>
      </c>
      <c r="I25" t="str">
        <v>Y</v>
      </c>
      <c r="N25" t="str">
        <v>Y</v>
      </c>
      <c r="Q25" t="str">
        <v>Stage corrected Stage 4 → Stage 3; Area corrected 740 → 614 m² (V6 polygon); Zone corrected "East" → "Central"; Geometry amended in 08B WAPC202888 overlay</v>
      </c>
    </row>
    <row r="26">
      <c r="A26">
        <v>310</v>
      </c>
      <c r="B26">
        <v>510</v>
      </c>
      <c r="C26" t="str">
        <v>Standard</v>
      </c>
      <c r="D26" t="str">
        <v>Central</v>
      </c>
      <c r="E26" t="str">
        <v>Stage 3</v>
      </c>
      <c r="F26" t="str">
        <v>Available</v>
      </c>
      <c r="G26" t="str">
        <v>Public</v>
      </c>
      <c r="I26" t="str">
        <v>Y</v>
      </c>
      <c r="N26" t="str">
        <v>Y</v>
      </c>
      <c r="Q26" t="str">
        <v>Stage corrected Stage 5 → Stage 3; Area corrected 600 → 510 m² (V6 polygon); Zone corrected "North" → "Central"; Geometry amended in 08B WAPC202888 overlay</v>
      </c>
    </row>
    <row r="27">
      <c r="A27">
        <v>311</v>
      </c>
      <c r="B27">
        <v>505</v>
      </c>
      <c r="C27" t="str">
        <v>Standard</v>
      </c>
      <c r="D27" t="str">
        <v>Central</v>
      </c>
      <c r="E27" t="str">
        <v>Stage 3</v>
      </c>
      <c r="F27" t="str">
        <v>Available</v>
      </c>
      <c r="G27" t="str">
        <v>Public</v>
      </c>
      <c r="I27" t="str">
        <v>Y</v>
      </c>
      <c r="N27" t="str">
        <v>Y</v>
      </c>
      <c r="Q27" t="str">
        <v>Stage corrected Stage 5 → Stage 3; Area corrected 650 → 505 m² (V6 polygon); Zone corrected "North" → "Central"</v>
      </c>
    </row>
    <row r="28">
      <c r="A28">
        <v>312</v>
      </c>
      <c r="B28">
        <v>510</v>
      </c>
      <c r="C28" t="str">
        <v>Standard</v>
      </c>
      <c r="D28" t="str">
        <v>Central</v>
      </c>
      <c r="E28" t="str">
        <v>Stage 3</v>
      </c>
      <c r="F28" t="str">
        <v>Available</v>
      </c>
      <c r="G28" t="str">
        <v>Public</v>
      </c>
      <c r="I28" t="str">
        <v>Y</v>
      </c>
      <c r="N28" t="str">
        <v>Y</v>
      </c>
      <c r="Q28" t="str">
        <v>Stage corrected Stage 5 → Stage 3; Area corrected 700 → 510 m² (V6 polygon); Zone corrected "North" → "Central"</v>
      </c>
    </row>
    <row r="29">
      <c r="A29">
        <v>313</v>
      </c>
      <c r="B29">
        <v>525</v>
      </c>
      <c r="C29" t="str">
        <v>Standard</v>
      </c>
      <c r="D29" t="str">
        <v>Central</v>
      </c>
      <c r="E29" t="str">
        <v>Stage 3</v>
      </c>
      <c r="F29" t="str">
        <v>Available</v>
      </c>
      <c r="G29" t="str">
        <v>Public</v>
      </c>
      <c r="I29" t="str">
        <v>Y</v>
      </c>
      <c r="N29" t="str">
        <v>Y</v>
      </c>
      <c r="Q29" t="str">
        <v>Stage corrected Stage 5 → Stage 3; Area corrected 750 → 525 m² (V6 polygon); Zone corrected "North" → "Central"; Geometry amended in 08B WAPC202888 overlay</v>
      </c>
    </row>
    <row r="30">
      <c r="A30">
        <v>314</v>
      </c>
      <c r="B30">
        <v>614</v>
      </c>
      <c r="C30" t="str">
        <v>Large</v>
      </c>
      <c r="D30" t="str">
        <v>Central</v>
      </c>
      <c r="E30" t="str">
        <v>Stage 3</v>
      </c>
      <c r="F30" t="str">
        <v>Available</v>
      </c>
      <c r="G30" t="str">
        <v>Public</v>
      </c>
      <c r="I30" t="str">
        <v>Y</v>
      </c>
      <c r="N30" t="str">
        <v>Y</v>
      </c>
      <c r="Q30" t="str">
        <v>Stage corrected Stage 5 → Stage 3; Area corrected 600 → 614 m² (V6 polygon); Zone corrected "North" → "Central"</v>
      </c>
    </row>
    <row r="31">
      <c r="A31">
        <v>315</v>
      </c>
      <c r="B31">
        <v>560</v>
      </c>
      <c r="C31" t="str">
        <v>Standard</v>
      </c>
      <c r="D31" t="str">
        <v>Central</v>
      </c>
      <c r="E31" t="str">
        <v>Stage 3</v>
      </c>
      <c r="F31" t="str">
        <v>Available</v>
      </c>
      <c r="G31" t="str">
        <v>Public</v>
      </c>
      <c r="I31" t="str">
        <v>Y</v>
      </c>
      <c r="N31" t="str">
        <v>Y</v>
      </c>
      <c r="Q31" t="str">
        <v>Stage corrected Stage 5 → Stage 3; Area corrected 650 → 560 m² (V6 polygon); Zone corrected "North" → "Central"; Geometry amended in 08B WAPC202888 overlay</v>
      </c>
    </row>
    <row r="32">
      <c r="A32">
        <v>316</v>
      </c>
      <c r="B32">
        <v>794</v>
      </c>
      <c r="C32" t="str">
        <v>Premium</v>
      </c>
      <c r="D32" t="str">
        <v>Central</v>
      </c>
      <c r="E32" t="str">
        <v>Stage 3</v>
      </c>
      <c r="F32" t="str">
        <v>Available</v>
      </c>
      <c r="G32" t="str">
        <v>Public</v>
      </c>
      <c r="I32" t="str">
        <v>Y</v>
      </c>
      <c r="N32" t="str">
        <v>Y</v>
      </c>
      <c r="Q32" t="str">
        <v>Stage corrected Stage 5 → Stage 3; Area corrected 700 → 794 m² (V6 polygon); Zone corrected "North" → "Central"; Geometry amended in 08B WAPC202888 overlay</v>
      </c>
    </row>
    <row r="33">
      <c r="A33">
        <v>317</v>
      </c>
      <c r="B33">
        <v>658</v>
      </c>
      <c r="C33" t="str">
        <v>Large</v>
      </c>
      <c r="D33" t="str">
        <v>Central</v>
      </c>
      <c r="E33" t="str">
        <v>Stage 3</v>
      </c>
      <c r="F33" t="str">
        <v>Available</v>
      </c>
      <c r="G33" t="str">
        <v>Public</v>
      </c>
      <c r="I33" t="str">
        <v>Y</v>
      </c>
      <c r="N33" t="str">
        <v>Y</v>
      </c>
      <c r="Q33" t="str">
        <v>Stage corrected Stage 5 → Stage 3; Area corrected 750 → 658 m² (V6 polygon); Zone corrected "North" → "Central"; Geometry amended in 08B WAPC202888 overlay</v>
      </c>
    </row>
    <row r="34">
      <c r="A34">
        <v>318</v>
      </c>
      <c r="B34">
        <v>595</v>
      </c>
      <c r="C34" t="str">
        <v>Standard</v>
      </c>
      <c r="D34" t="str">
        <v>Central</v>
      </c>
      <c r="E34" t="str">
        <v>Stage 3</v>
      </c>
      <c r="F34" t="str">
        <v>Available</v>
      </c>
      <c r="G34" t="str">
        <v>Public</v>
      </c>
      <c r="I34" t="str">
        <v>Y</v>
      </c>
      <c r="N34" t="str">
        <v>Y</v>
      </c>
      <c r="Q34" t="str">
        <v>Stage corrected Stage 5 → Stage 3; Area corrected 600 → 595 m² (V6 polygon); Zone corrected "North" → "Central"</v>
      </c>
    </row>
    <row r="35">
      <c r="A35">
        <v>319</v>
      </c>
      <c r="B35">
        <v>595</v>
      </c>
      <c r="C35" t="str">
        <v>Standard</v>
      </c>
      <c r="D35" t="str">
        <v>Central</v>
      </c>
      <c r="E35" t="str">
        <v>Stage 3</v>
      </c>
      <c r="F35" t="str">
        <v>Available</v>
      </c>
      <c r="G35" t="str">
        <v>Public</v>
      </c>
      <c r="I35" t="str">
        <v>Y</v>
      </c>
      <c r="N35" t="str">
        <v>Y</v>
      </c>
      <c r="Q35" t="str">
        <v>Stage corrected Stage 5 → Stage 3; Area corrected 650 → 595 m² (V6 polygon); Zone corrected "North" → "Central"</v>
      </c>
    </row>
    <row r="36">
      <c r="A36">
        <v>320</v>
      </c>
      <c r="B36">
        <v>595</v>
      </c>
      <c r="C36" t="str">
        <v>Standard</v>
      </c>
      <c r="D36" t="str">
        <v>Central</v>
      </c>
      <c r="E36" t="str">
        <v>Stage 3</v>
      </c>
      <c r="F36" t="str">
        <v>Available</v>
      </c>
      <c r="G36" t="str">
        <v>Public</v>
      </c>
      <c r="I36" t="str">
        <v>Y</v>
      </c>
      <c r="N36" t="str">
        <v>Y</v>
      </c>
      <c r="Q36" t="str">
        <v>Stage corrected Stage 5 → Stage 3; Area corrected 700 → 595 m² (V6 polygon); Zone corrected "North" → "Central"</v>
      </c>
    </row>
    <row r="37">
      <c r="A37">
        <v>321</v>
      </c>
      <c r="B37">
        <v>595</v>
      </c>
      <c r="C37" t="str">
        <v>Standard</v>
      </c>
      <c r="D37" t="str">
        <v>Central</v>
      </c>
      <c r="E37" t="str">
        <v>Stage 3</v>
      </c>
      <c r="F37" t="str">
        <v>Available</v>
      </c>
      <c r="G37" t="str">
        <v>Public</v>
      </c>
      <c r="I37" t="str">
        <v>Y</v>
      </c>
      <c r="N37" t="str">
        <v>Y</v>
      </c>
      <c r="Q37" t="str">
        <v>Stage corrected Stage 5 → Stage 3; Area corrected 750 → 595 m² (V6 polygon); Zone corrected "North" → "Central"</v>
      </c>
    </row>
    <row r="38">
      <c r="A38">
        <v>322</v>
      </c>
      <c r="B38">
        <v>749</v>
      </c>
      <c r="C38" t="str">
        <v>Premium</v>
      </c>
      <c r="D38" t="str">
        <v>Central</v>
      </c>
      <c r="E38" t="str">
        <v>Stage 3</v>
      </c>
      <c r="F38" t="str">
        <v>Available</v>
      </c>
      <c r="G38" t="str">
        <v>Public</v>
      </c>
      <c r="I38" t="str">
        <v>Y</v>
      </c>
      <c r="N38" t="str">
        <v>Y</v>
      </c>
      <c r="Q38" t="str">
        <v>Stage corrected Stage 5 → Stage 3; Area corrected 600 → 749 m² (V6 polygon); Zone corrected "North" → "Central"</v>
      </c>
    </row>
    <row r="39">
      <c r="A39">
        <v>324</v>
      </c>
      <c r="B39">
        <v>630</v>
      </c>
      <c r="C39" t="str">
        <v>Large</v>
      </c>
      <c r="D39" t="str">
        <v>Central</v>
      </c>
      <c r="E39" t="str">
        <v>Stage 3</v>
      </c>
      <c r="F39" t="str">
        <v>Available</v>
      </c>
      <c r="G39" t="str">
        <v>Public</v>
      </c>
      <c r="I39" t="str">
        <v>Y</v>
      </c>
      <c r="N39" t="str">
        <v>Y</v>
      </c>
      <c r="Q39" t="str">
        <v>Inserted per V6 (not in V1)</v>
      </c>
    </row>
    <row r="40">
      <c r="A40">
        <v>325</v>
      </c>
      <c r="B40">
        <v>682</v>
      </c>
      <c r="C40" t="str">
        <v>Large</v>
      </c>
      <c r="D40" t="str">
        <v>Central</v>
      </c>
      <c r="E40" t="str">
        <v>Stage 3</v>
      </c>
      <c r="F40" t="str">
        <v>Available</v>
      </c>
      <c r="G40" t="str">
        <v>Public</v>
      </c>
      <c r="I40" t="str">
        <v>Y</v>
      </c>
      <c r="N40" t="str">
        <v>Y</v>
      </c>
      <c r="Q40" t="str">
        <v>Inserted per V6 (not in V1)</v>
      </c>
    </row>
    <row r="41">
      <c r="A41">
        <v>326</v>
      </c>
      <c r="B41">
        <v>682</v>
      </c>
      <c r="C41" t="str">
        <v>Large</v>
      </c>
      <c r="D41" t="str">
        <v>Central</v>
      </c>
      <c r="E41" t="str">
        <v>Stage 3</v>
      </c>
      <c r="F41" t="str">
        <v>Available</v>
      </c>
      <c r="G41" t="str">
        <v>Public</v>
      </c>
      <c r="I41" t="str">
        <v>Y</v>
      </c>
      <c r="N41" t="str">
        <v>Y</v>
      </c>
      <c r="Q41" t="str">
        <v>Inserted per V6 (not in V1)</v>
      </c>
    </row>
    <row r="42">
      <c r="A42">
        <v>327</v>
      </c>
      <c r="B42">
        <v>772</v>
      </c>
      <c r="C42" t="str">
        <v>Premium</v>
      </c>
      <c r="D42" t="str">
        <v>Central</v>
      </c>
      <c r="E42" t="str">
        <v>Stage 3</v>
      </c>
      <c r="F42" t="str">
        <v>Available</v>
      </c>
      <c r="G42" t="str">
        <v>Public</v>
      </c>
      <c r="I42" t="str">
        <v>Y</v>
      </c>
      <c r="N42" t="str">
        <v>Y</v>
      </c>
      <c r="Q42" t="str">
        <v>Inserted per V6 (not in V1); Geometry amended in 08B WAPC202888 overlay</v>
      </c>
    </row>
    <row r="43">
      <c r="A43">
        <v>328</v>
      </c>
      <c r="B43">
        <v>704</v>
      </c>
      <c r="C43" t="str">
        <v>Premium</v>
      </c>
      <c r="D43" t="str">
        <v>Central</v>
      </c>
      <c r="E43" t="str">
        <v>Stage 3</v>
      </c>
      <c r="F43" t="str">
        <v>Available</v>
      </c>
      <c r="G43" t="str">
        <v>Public</v>
      </c>
      <c r="I43" t="str">
        <v>Y</v>
      </c>
      <c r="N43" t="str">
        <v>Y</v>
      </c>
      <c r="Q43" t="str">
        <v>Inserted per V6 (not in V1); Geometry amended in 08B WAPC202888 overlay</v>
      </c>
    </row>
    <row r="44">
      <c r="A44">
        <v>329</v>
      </c>
      <c r="B44">
        <v>804</v>
      </c>
      <c r="C44" t="str">
        <v>Premium</v>
      </c>
      <c r="D44" t="str">
        <v>Central</v>
      </c>
      <c r="E44" t="str">
        <v>Stage 3</v>
      </c>
      <c r="F44" t="str">
        <v>Available</v>
      </c>
      <c r="G44" t="str">
        <v>Public</v>
      </c>
      <c r="I44" t="str">
        <v>Y</v>
      </c>
      <c r="N44" t="str">
        <v>Y</v>
      </c>
      <c r="Q44" t="str">
        <v>Inserted per V6 (not in V1); Geometry amended in 08B WAPC202888 overlay</v>
      </c>
    </row>
    <row r="45">
      <c r="A45">
        <v>330</v>
      </c>
      <c r="B45">
        <v>721</v>
      </c>
      <c r="C45" t="str">
        <v>Premium</v>
      </c>
      <c r="D45" t="str">
        <v>Central</v>
      </c>
      <c r="E45" t="str">
        <v>Stage 3</v>
      </c>
      <c r="F45" t="str">
        <v>Available</v>
      </c>
      <c r="G45" t="str">
        <v>Public</v>
      </c>
      <c r="I45" t="str">
        <v>Y</v>
      </c>
      <c r="N45" t="str">
        <v>Y</v>
      </c>
      <c r="Q45" t="str">
        <v>Inserted per V6 (not in V1); Geometry amended in 08B WAPC202888 overlay</v>
      </c>
    </row>
    <row r="46">
      <c r="A46">
        <v>331</v>
      </c>
      <c r="B46">
        <v>748</v>
      </c>
      <c r="C46" t="str">
        <v>Premium</v>
      </c>
      <c r="D46" t="str">
        <v>Central</v>
      </c>
      <c r="E46" t="str">
        <v>Stage 3</v>
      </c>
      <c r="F46" t="str">
        <v>Available</v>
      </c>
      <c r="G46" t="str">
        <v>Public</v>
      </c>
      <c r="I46" t="str">
        <v>Y</v>
      </c>
      <c r="N46" t="str">
        <v>Y</v>
      </c>
      <c r="Q46" t="str">
        <v>Inserted per V6 (not in V1); Geometry amended in 08B WAPC202888 overlay</v>
      </c>
    </row>
    <row r="47">
      <c r="A47">
        <v>261</v>
      </c>
      <c r="B47">
        <v>536</v>
      </c>
      <c r="C47" t="str">
        <v>Standard</v>
      </c>
      <c r="D47" t="str">
        <v>Pepper Gate</v>
      </c>
      <c r="E47" t="str">
        <v>Stage 4</v>
      </c>
      <c r="F47" t="str">
        <v>Available</v>
      </c>
      <c r="G47" t="str">
        <v>Public</v>
      </c>
      <c r="I47" t="str">
        <v>Y</v>
      </c>
      <c r="N47" t="str">
        <v>Y</v>
      </c>
      <c r="Q47" t="str">
        <v>Stage corrected Stage 3 → Stage 4; Area corrected 630 → 536 m² (V6 polygon); Zone corrected "Central" → "Pepper Gate"</v>
      </c>
    </row>
    <row r="48">
      <c r="A48">
        <v>262</v>
      </c>
      <c r="B48">
        <v>517</v>
      </c>
      <c r="C48" t="str">
        <v>Standard</v>
      </c>
      <c r="D48" t="str">
        <v>Pepper Gate</v>
      </c>
      <c r="E48" t="str">
        <v>Stage 4</v>
      </c>
      <c r="F48" t="str">
        <v>Available</v>
      </c>
      <c r="G48" t="str">
        <v>Public</v>
      </c>
      <c r="I48" t="str">
        <v>Y</v>
      </c>
      <c r="N48" t="str">
        <v>Y</v>
      </c>
      <c r="Q48" t="str">
        <v>Stage corrected Stage 3 → Stage 4; Area corrected 660 → 517 m² (V6 polygon); Zone corrected "Central" → "Pepper Gate"</v>
      </c>
    </row>
    <row r="49">
      <c r="A49">
        <v>263</v>
      </c>
      <c r="B49">
        <v>589</v>
      </c>
      <c r="C49" t="str">
        <v>Standard</v>
      </c>
      <c r="D49" t="str">
        <v>Pepper Gate</v>
      </c>
      <c r="E49" t="str">
        <v>Stage 4</v>
      </c>
      <c r="F49" t="str">
        <v>Available</v>
      </c>
      <c r="G49" t="str">
        <v>Public</v>
      </c>
      <c r="I49" t="str">
        <v>Y</v>
      </c>
      <c r="N49" t="str">
        <v>Y</v>
      </c>
      <c r="Q49" t="str">
        <v>Stage corrected Stage 3 → Stage 4; Area corrected 690 → 589 m² (V6 polygon); Zone corrected "Central" → "Pepper Gate"</v>
      </c>
    </row>
    <row r="50">
      <c r="A50">
        <v>264</v>
      </c>
      <c r="B50">
        <v>523</v>
      </c>
      <c r="C50" t="str">
        <v>Standard</v>
      </c>
      <c r="D50" t="str">
        <v>Pepper Gate</v>
      </c>
      <c r="E50" t="str">
        <v>Stage 4</v>
      </c>
      <c r="F50" t="str">
        <v>Available</v>
      </c>
      <c r="G50" t="str">
        <v>Public</v>
      </c>
      <c r="I50" t="str">
        <v>Y</v>
      </c>
      <c r="N50" t="str">
        <v>Y</v>
      </c>
      <c r="Q50" t="str">
        <v>Stage corrected Stage 3 → Stage 4; Area corrected 720 → 523 m² (V6 polygon); Zone corrected "Central" → "Pepper Gate"</v>
      </c>
    </row>
    <row r="51">
      <c r="A51">
        <v>265</v>
      </c>
      <c r="B51">
        <v>527</v>
      </c>
      <c r="C51" t="str">
        <v>Standard</v>
      </c>
      <c r="D51" t="str">
        <v>Pepper Gate</v>
      </c>
      <c r="E51" t="str">
        <v>Stage 4</v>
      </c>
      <c r="F51" t="str">
        <v>Available</v>
      </c>
      <c r="G51" t="str">
        <v>Public</v>
      </c>
      <c r="I51" t="str">
        <v>Y</v>
      </c>
      <c r="N51" t="str">
        <v>Y</v>
      </c>
      <c r="Q51" t="str">
        <v>Stage corrected Stage 3 → Stage 4; Area corrected 600 → 527 m² (V6 polygon); Zone corrected "Central" → "Pepper Gate"</v>
      </c>
    </row>
    <row r="52">
      <c r="A52">
        <v>266</v>
      </c>
      <c r="B52">
        <v>606</v>
      </c>
      <c r="C52" t="str">
        <v>Large</v>
      </c>
      <c r="D52" t="str">
        <v>Pepper Gate</v>
      </c>
      <c r="E52" t="str">
        <v>Stage 4</v>
      </c>
      <c r="F52" t="str">
        <v>Available</v>
      </c>
      <c r="G52" t="str">
        <v>Public</v>
      </c>
      <c r="I52" t="str">
        <v>Y</v>
      </c>
      <c r="N52" t="str">
        <v>Y</v>
      </c>
      <c r="Q52" t="str">
        <v>Stage corrected Stage 3 → Stage 4; Area corrected 630 → 606 m² (V6 polygon); Zone corrected "Central" → "Pepper Gate"</v>
      </c>
    </row>
    <row r="53">
      <c r="A53">
        <v>267</v>
      </c>
      <c r="B53">
        <v>598</v>
      </c>
      <c r="C53" t="str">
        <v>Standard</v>
      </c>
      <c r="D53" t="str">
        <v>Pepper Gate</v>
      </c>
      <c r="E53" t="str">
        <v>Stage 4</v>
      </c>
      <c r="F53" t="str">
        <v>Available</v>
      </c>
      <c r="G53" t="str">
        <v>Public</v>
      </c>
      <c r="I53" t="str">
        <v>Y</v>
      </c>
      <c r="N53" t="str">
        <v>Y</v>
      </c>
      <c r="Q53" t="str">
        <v>Stage corrected Stage 3 → Stage 4; Area corrected 660 → 598 m² (V6 polygon); Zone corrected "Central" → "Pepper Gate"</v>
      </c>
    </row>
    <row r="54">
      <c r="A54">
        <v>268</v>
      </c>
      <c r="B54">
        <v>685</v>
      </c>
      <c r="C54" t="str">
        <v>Large</v>
      </c>
      <c r="D54" t="str">
        <v>Pepper Gate</v>
      </c>
      <c r="E54" t="str">
        <v>Stage 4</v>
      </c>
      <c r="F54" t="str">
        <v>Available</v>
      </c>
      <c r="G54" t="str">
        <v>Public</v>
      </c>
      <c r="I54" t="str">
        <v>Y</v>
      </c>
      <c r="N54" t="str">
        <v>Y</v>
      </c>
      <c r="Q54" t="str">
        <v>Stage corrected Stage 3 → Stage 4; Area corrected 690 → 685 m² (V6 polygon); Zone corrected "Central" → "Pepper Gate"</v>
      </c>
    </row>
    <row r="55">
      <c r="A55">
        <v>269</v>
      </c>
      <c r="B55">
        <v>619</v>
      </c>
      <c r="C55" t="str">
        <v>Large</v>
      </c>
      <c r="D55" t="str">
        <v>Pepper Gate</v>
      </c>
      <c r="E55" t="str">
        <v>Stage 4</v>
      </c>
      <c r="F55" t="str">
        <v>Available</v>
      </c>
      <c r="G55" t="str">
        <v>Public</v>
      </c>
      <c r="I55" t="str">
        <v>Y</v>
      </c>
      <c r="N55" t="str">
        <v>Y</v>
      </c>
      <c r="Q55" t="str">
        <v>Stage corrected Stage 3 → Stage 4; Area corrected 720 → 619 m² (V6 polygon); Zone corrected "Central" → "Pepper Gate"; Geometry amended in 08B WAPC202888 overlay</v>
      </c>
    </row>
    <row r="56">
      <c r="A56">
        <v>270</v>
      </c>
      <c r="B56">
        <v>548</v>
      </c>
      <c r="C56" t="str">
        <v>Standard</v>
      </c>
      <c r="D56" t="str">
        <v>Pepper Gate</v>
      </c>
      <c r="E56" t="str">
        <v>Stage 4</v>
      </c>
      <c r="F56" t="str">
        <v>Available</v>
      </c>
      <c r="G56" t="str">
        <v>Public</v>
      </c>
      <c r="I56" t="str">
        <v>Y</v>
      </c>
      <c r="N56" t="str">
        <v>Y</v>
      </c>
      <c r="Q56" t="str">
        <v>Stage corrected Stage 3 → Stage 4; Area corrected 600 → 548 m² (V6 polygon); Zone corrected "Central" → "Pepper Gate"; Geometry amended in 08B WAPC202888 overlay</v>
      </c>
    </row>
    <row r="57">
      <c r="A57">
        <v>271</v>
      </c>
      <c r="B57">
        <v>629</v>
      </c>
      <c r="C57" t="str">
        <v>Large</v>
      </c>
      <c r="D57" t="str">
        <v>Pepper Gate</v>
      </c>
      <c r="E57" t="str">
        <v>Stage 4</v>
      </c>
      <c r="F57" t="str">
        <v>Available</v>
      </c>
      <c r="G57" t="str">
        <v>Public</v>
      </c>
      <c r="I57" t="str">
        <v>Y</v>
      </c>
      <c r="N57" t="str">
        <v>Y</v>
      </c>
      <c r="Q57" t="str">
        <v>Stage corrected Stage 3 → Stage 4; Area corrected 630 → 629 m² (V6 polygon); Zone corrected "Central" → "Pepper Gate"</v>
      </c>
    </row>
    <row r="58">
      <c r="A58">
        <v>272</v>
      </c>
      <c r="B58">
        <v>600</v>
      </c>
      <c r="C58" t="str">
        <v>Large</v>
      </c>
      <c r="D58" t="str">
        <v>Pepper Gate</v>
      </c>
      <c r="E58" t="str">
        <v>Stage 4</v>
      </c>
      <c r="F58" t="str">
        <v>Available</v>
      </c>
      <c r="G58" t="str">
        <v>Public</v>
      </c>
      <c r="I58" t="str">
        <v>Y</v>
      </c>
      <c r="N58" t="str">
        <v>Y</v>
      </c>
      <c r="Q58" t="str">
        <v>Stage corrected Stage 3 → Stage 4; Area corrected 660 → 600 m² (V6 polygon); Zone corrected "Central" → "Pepper Gate"</v>
      </c>
    </row>
    <row r="59">
      <c r="A59">
        <v>236</v>
      </c>
      <c r="B59">
        <v>554</v>
      </c>
      <c r="C59" t="str">
        <v>Standard</v>
      </c>
      <c r="D59" t="str">
        <v>Sutcliffe Road</v>
      </c>
      <c r="E59" t="str">
        <v>Stage 5</v>
      </c>
      <c r="F59" t="str">
        <v>Available</v>
      </c>
      <c r="G59" t="str">
        <v>Public</v>
      </c>
      <c r="I59" t="str">
        <v>Y</v>
      </c>
      <c r="N59" t="str">
        <v>Y</v>
      </c>
      <c r="Q59" t="str">
        <v>Stage corrected Stage 1 → Stage 5; Area corrected 720 → 554 m² (V6 polygon)</v>
      </c>
    </row>
    <row r="60">
      <c r="A60">
        <v>237</v>
      </c>
      <c r="B60">
        <v>525</v>
      </c>
      <c r="C60" t="str">
        <v>Standard</v>
      </c>
      <c r="D60" t="str">
        <v>Sutcliffe Road</v>
      </c>
      <c r="E60" t="str">
        <v>Stage 5</v>
      </c>
      <c r="F60" t="str">
        <v>Available</v>
      </c>
      <c r="G60" t="str">
        <v>Public</v>
      </c>
      <c r="I60" t="str">
        <v>Y</v>
      </c>
      <c r="N60" t="str">
        <v>Y</v>
      </c>
      <c r="Q60" t="str">
        <v>Stage corrected Stage 1 → Stage 5; Area corrected 715 → 525 m² (V6 polygon)</v>
      </c>
    </row>
    <row r="61">
      <c r="A61">
        <v>238</v>
      </c>
      <c r="B61">
        <v>815</v>
      </c>
      <c r="C61" t="str">
        <v>Premium</v>
      </c>
      <c r="D61" t="str">
        <v>Sutcliffe Road</v>
      </c>
      <c r="E61" t="str">
        <v>Stage 5</v>
      </c>
      <c r="F61" t="str">
        <v>Available</v>
      </c>
      <c r="G61" t="str">
        <v>Public</v>
      </c>
      <c r="I61" t="str">
        <v>Y</v>
      </c>
      <c r="N61" t="str">
        <v>Y</v>
      </c>
      <c r="Q61" t="str">
        <v>Stage corrected Stage 1 → Stage 5; Area corrected 710 → 815 m² (V6 polygon)</v>
      </c>
    </row>
    <row r="62">
      <c r="A62">
        <v>239</v>
      </c>
      <c r="B62">
        <v>751</v>
      </c>
      <c r="C62" t="str">
        <v>Premium</v>
      </c>
      <c r="D62" t="str">
        <v>Sutcliffe Road</v>
      </c>
      <c r="E62" t="str">
        <v>Stage 5</v>
      </c>
      <c r="F62" t="str">
        <v>Available</v>
      </c>
      <c r="G62" t="str">
        <v>Public</v>
      </c>
      <c r="I62" t="str">
        <v>Y</v>
      </c>
      <c r="N62" t="str">
        <v>Y</v>
      </c>
      <c r="Q62" t="str">
        <v>Inserted per V6 (not in V1)</v>
      </c>
    </row>
    <row r="63">
      <c r="A63">
        <v>240</v>
      </c>
      <c r="B63">
        <v>595</v>
      </c>
      <c r="C63" t="str">
        <v>Standard</v>
      </c>
      <c r="D63" t="str">
        <v>Sutcliffe Road</v>
      </c>
      <c r="E63" t="str">
        <v>Stage 5</v>
      </c>
      <c r="F63" t="str">
        <v>Available</v>
      </c>
      <c r="G63" t="str">
        <v>Public</v>
      </c>
      <c r="I63" t="str">
        <v>Y</v>
      </c>
      <c r="N63" t="str">
        <v>Y</v>
      </c>
      <c r="Q63" t="str">
        <v>Inserted per V6 (not in V1)</v>
      </c>
    </row>
    <row r="64">
      <c r="A64">
        <v>241</v>
      </c>
      <c r="B64">
        <v>595</v>
      </c>
      <c r="C64" t="str">
        <v>Standard</v>
      </c>
      <c r="D64" t="str">
        <v>Sutcliffe Road</v>
      </c>
      <c r="E64" t="str">
        <v>Stage 5</v>
      </c>
      <c r="F64" t="str">
        <v>Available</v>
      </c>
      <c r="G64" t="str">
        <v>Public</v>
      </c>
      <c r="I64" t="str">
        <v>Y</v>
      </c>
      <c r="N64" t="str">
        <v>Y</v>
      </c>
      <c r="Q64" t="str">
        <v>Inserted per V6 (not in V1)</v>
      </c>
    </row>
    <row r="65">
      <c r="A65">
        <v>242</v>
      </c>
      <c r="B65">
        <v>624</v>
      </c>
      <c r="C65" t="str">
        <v>Large</v>
      </c>
      <c r="D65" t="str">
        <v>Sutcliffe Road</v>
      </c>
      <c r="E65" t="str">
        <v>Stage 5</v>
      </c>
      <c r="F65" t="str">
        <v>Available</v>
      </c>
      <c r="G65" t="str">
        <v>Public</v>
      </c>
      <c r="I65" t="str">
        <v>Y</v>
      </c>
      <c r="N65" t="str">
        <v>Y</v>
      </c>
      <c r="Q65" t="str">
        <v>Inserted per V6 (not in V1)</v>
      </c>
    </row>
    <row r="66">
      <c r="A66">
        <v>243</v>
      </c>
      <c r="B66">
        <v>561</v>
      </c>
      <c r="C66" t="str">
        <v>Standard</v>
      </c>
      <c r="D66" t="str">
        <v>Sutcliffe Road</v>
      </c>
      <c r="E66" t="str">
        <v>Stage 5</v>
      </c>
      <c r="F66" t="str">
        <v>Available</v>
      </c>
      <c r="G66" t="str">
        <v>Public</v>
      </c>
      <c r="I66" t="str">
        <v>Y</v>
      </c>
      <c r="N66" t="str">
        <v>Y</v>
      </c>
      <c r="Q66" t="str">
        <v>Inserted per V6 (not in V1)</v>
      </c>
    </row>
    <row r="67">
      <c r="A67">
        <v>244</v>
      </c>
      <c r="B67">
        <v>483</v>
      </c>
      <c r="C67" t="str">
        <v>Compact</v>
      </c>
      <c r="D67" t="str">
        <v>Sutcliffe Road</v>
      </c>
      <c r="E67" t="str">
        <v>Stage 5</v>
      </c>
      <c r="F67" t="str">
        <v>Available</v>
      </c>
      <c r="G67" t="str">
        <v>Public</v>
      </c>
      <c r="I67" t="str">
        <v>Y</v>
      </c>
      <c r="N67" t="str">
        <v>Y</v>
      </c>
      <c r="Q67" t="str">
        <v>Inserted per V6 (not in V1)</v>
      </c>
    </row>
    <row r="68">
      <c r="A68">
        <v>245</v>
      </c>
      <c r="B68">
        <v>473</v>
      </c>
      <c r="C68" t="str">
        <v>Compact</v>
      </c>
      <c r="D68" t="str">
        <v>Sutcliffe Road</v>
      </c>
      <c r="E68" t="str">
        <v>Stage 5</v>
      </c>
      <c r="F68" t="str">
        <v>Available</v>
      </c>
      <c r="G68" t="str">
        <v>Public</v>
      </c>
      <c r="I68" t="str">
        <v>Y</v>
      </c>
      <c r="N68" t="str">
        <v>Y</v>
      </c>
      <c r="Q68" t="str">
        <v>Inserted per V6 (not in V1)</v>
      </c>
    </row>
    <row r="69">
      <c r="A69">
        <v>246</v>
      </c>
      <c r="B69">
        <v>462</v>
      </c>
      <c r="C69" t="str">
        <v>Compact</v>
      </c>
      <c r="D69" t="str">
        <v>Sutcliffe Road</v>
      </c>
      <c r="E69" t="str">
        <v>Stage 5</v>
      </c>
      <c r="F69" t="str">
        <v>Available</v>
      </c>
      <c r="G69" t="str">
        <v>Public</v>
      </c>
      <c r="I69" t="str">
        <v>Y</v>
      </c>
      <c r="N69" t="str">
        <v>Y</v>
      </c>
      <c r="Q69" t="str">
        <v>Inserted per V6 (not in V1)</v>
      </c>
    </row>
    <row r="70">
      <c r="A70">
        <v>247</v>
      </c>
      <c r="B70">
        <v>511</v>
      </c>
      <c r="C70" t="str">
        <v>Standard</v>
      </c>
      <c r="D70" t="str">
        <v>Sutcliffe Road</v>
      </c>
      <c r="E70" t="str">
        <v>Stage 5</v>
      </c>
      <c r="F70" t="str">
        <v>Available</v>
      </c>
      <c r="G70" t="str">
        <v>Public</v>
      </c>
      <c r="I70" t="str">
        <v>Y</v>
      </c>
      <c r="N70" t="str">
        <v>Y</v>
      </c>
      <c r="Q70" t="str">
        <v>Inserted per V6 (not in V1)</v>
      </c>
    </row>
    <row r="71">
      <c r="A71">
        <v>248</v>
      </c>
      <c r="B71">
        <v>600</v>
      </c>
      <c r="C71" t="str">
        <v>Large</v>
      </c>
      <c r="D71" t="str">
        <v>Sutcliffe Road</v>
      </c>
      <c r="E71" t="str">
        <v>Stage 5</v>
      </c>
      <c r="F71" t="str">
        <v>Available</v>
      </c>
      <c r="G71" t="str">
        <v>Public</v>
      </c>
      <c r="I71" t="str">
        <v>Y</v>
      </c>
      <c r="N71" t="str">
        <v>Y</v>
      </c>
      <c r="Q71" t="str">
        <v>Inserted per V6 (not in V1)</v>
      </c>
    </row>
    <row r="72">
      <c r="A72">
        <v>249</v>
      </c>
      <c r="B72">
        <v>638</v>
      </c>
      <c r="C72" t="str">
        <v>Large</v>
      </c>
      <c r="D72" t="str">
        <v>Sutcliffe Road</v>
      </c>
      <c r="E72" t="str">
        <v>Stage 5</v>
      </c>
      <c r="F72" t="str">
        <v>Available</v>
      </c>
      <c r="G72" t="str">
        <v>Public</v>
      </c>
      <c r="I72" t="str">
        <v>Y</v>
      </c>
      <c r="N72" t="str">
        <v>Y</v>
      </c>
      <c r="Q72" t="str">
        <v>Inserted per V6 (not in V1)</v>
      </c>
    </row>
    <row r="73">
      <c r="A73">
        <v>250</v>
      </c>
      <c r="B73">
        <v>502</v>
      </c>
      <c r="C73" t="str">
        <v>Standard</v>
      </c>
      <c r="D73" t="str">
        <v>Sutcliffe Road</v>
      </c>
      <c r="E73" t="str">
        <v>Stage 5</v>
      </c>
      <c r="F73" t="str">
        <v>Available</v>
      </c>
      <c r="G73" t="str">
        <v>Public</v>
      </c>
      <c r="I73" t="str">
        <v>Y</v>
      </c>
      <c r="N73" t="str">
        <v>Y</v>
      </c>
      <c r="Q73" t="str">
        <v>Inserted per V6 (not in V1)</v>
      </c>
    </row>
    <row r="74">
      <c r="A74">
        <v>251</v>
      </c>
      <c r="B74">
        <v>502</v>
      </c>
      <c r="C74" t="str">
        <v>Standard</v>
      </c>
      <c r="D74" t="str">
        <v>Sutcliffe Road</v>
      </c>
      <c r="E74" t="str">
        <v>Stage 5</v>
      </c>
      <c r="F74" t="str">
        <v>Available</v>
      </c>
      <c r="G74" t="str">
        <v>Public</v>
      </c>
      <c r="I74" t="str">
        <v>Y</v>
      </c>
      <c r="N74" t="str">
        <v>Y</v>
      </c>
      <c r="Q74" t="str">
        <v>Inserted per V6 (not in V1)</v>
      </c>
    </row>
    <row r="75">
      <c r="A75">
        <v>252</v>
      </c>
      <c r="B75">
        <v>503</v>
      </c>
      <c r="C75" t="str">
        <v>Standard</v>
      </c>
      <c r="D75" t="str">
        <v>Sutcliffe Road</v>
      </c>
      <c r="E75" t="str">
        <v>Stage 5</v>
      </c>
      <c r="F75" t="str">
        <v>Available</v>
      </c>
      <c r="G75" t="str">
        <v>Public</v>
      </c>
      <c r="I75" t="str">
        <v>Y</v>
      </c>
      <c r="N75" t="str">
        <v>Y</v>
      </c>
      <c r="Q75" t="str">
        <v>Inserted per V6 (not in V1)</v>
      </c>
    </row>
    <row r="76">
      <c r="A76">
        <v>253</v>
      </c>
      <c r="B76">
        <v>503</v>
      </c>
      <c r="C76" t="str">
        <v>Standard</v>
      </c>
      <c r="D76" t="str">
        <v>Sutcliffe Road</v>
      </c>
      <c r="E76" t="str">
        <v>Stage 5</v>
      </c>
      <c r="F76" t="str">
        <v>Available</v>
      </c>
      <c r="G76" t="str">
        <v>Public</v>
      </c>
      <c r="I76" t="str">
        <v>Y</v>
      </c>
      <c r="N76" t="str">
        <v>Y</v>
      </c>
      <c r="Q76" t="str">
        <v>Inserted per V6 (not in V1)</v>
      </c>
    </row>
    <row r="77">
      <c r="A77">
        <v>254</v>
      </c>
      <c r="B77">
        <v>502</v>
      </c>
      <c r="C77" t="str">
        <v>Standard</v>
      </c>
      <c r="D77" t="str">
        <v>Sutcliffe Road</v>
      </c>
      <c r="E77" t="str">
        <v>Stage 5</v>
      </c>
      <c r="F77" t="str">
        <v>Available</v>
      </c>
      <c r="G77" t="str">
        <v>Public</v>
      </c>
      <c r="I77" t="str">
        <v>Y</v>
      </c>
      <c r="N77" t="str">
        <v>Y</v>
      </c>
      <c r="Q77" t="str">
        <v>Inserted per V6 (not in V1)</v>
      </c>
    </row>
    <row r="78">
      <c r="A78">
        <v>255</v>
      </c>
      <c r="B78">
        <v>569</v>
      </c>
      <c r="C78" t="str">
        <v>Standard</v>
      </c>
      <c r="D78" t="str">
        <v>Sutcliffe Road</v>
      </c>
      <c r="E78" t="str">
        <v>Stage 5</v>
      </c>
      <c r="F78" t="str">
        <v>Available</v>
      </c>
      <c r="G78" t="str">
        <v>Public</v>
      </c>
      <c r="I78" t="str">
        <v>Y</v>
      </c>
      <c r="N78" t="str">
        <v>Y</v>
      </c>
      <c r="Q78" t="str">
        <v>Inserted per V6 (not in V1)</v>
      </c>
    </row>
    <row r="79">
      <c r="A79">
        <v>256</v>
      </c>
      <c r="B79">
        <v>818</v>
      </c>
      <c r="C79" t="str">
        <v>Premium</v>
      </c>
      <c r="D79" t="str">
        <v>Sutcliffe Road</v>
      </c>
      <c r="E79" t="str">
        <v>Stage 5</v>
      </c>
      <c r="F79" t="str">
        <v>Available</v>
      </c>
      <c r="G79" t="str">
        <v>Public</v>
      </c>
      <c r="I79" t="str">
        <v>Y</v>
      </c>
      <c r="N79" t="str">
        <v>Y</v>
      </c>
      <c r="Q79" t="str">
        <v>Inserted per V6 (not in V1)</v>
      </c>
    </row>
    <row r="80">
      <c r="A80">
        <v>257</v>
      </c>
      <c r="B80">
        <v>520</v>
      </c>
      <c r="C80" t="str">
        <v>Standard</v>
      </c>
      <c r="D80" t="str">
        <v>Sutcliffe Road / NE Inner</v>
      </c>
      <c r="E80" t="str">
        <v>Stage 5</v>
      </c>
      <c r="F80" t="str">
        <v>Available</v>
      </c>
      <c r="G80" t="str">
        <v>Public</v>
      </c>
      <c r="I80" t="str">
        <v>Y</v>
      </c>
      <c r="N80" t="str">
        <v>Y</v>
      </c>
      <c r="Q80" t="str">
        <v>Inserted per V6 (not in V1)</v>
      </c>
    </row>
    <row r="81">
      <c r="A81">
        <v>258</v>
      </c>
      <c r="B81">
        <v>545</v>
      </c>
      <c r="C81" t="str">
        <v>Standard</v>
      </c>
      <c r="D81" t="str">
        <v>Sutcliffe Road / NE Inner</v>
      </c>
      <c r="E81" t="str">
        <v>Stage 5</v>
      </c>
      <c r="F81" t="str">
        <v>Available</v>
      </c>
      <c r="G81" t="str">
        <v>Public</v>
      </c>
      <c r="I81" t="str">
        <v>Y</v>
      </c>
      <c r="N81" t="str">
        <v>Y</v>
      </c>
      <c r="Q81" t="str">
        <v>Inserted per V6 (not in V1)</v>
      </c>
    </row>
    <row r="82">
      <c r="A82">
        <v>259</v>
      </c>
      <c r="B82">
        <v>559</v>
      </c>
      <c r="C82" t="str">
        <v>Standard</v>
      </c>
      <c r="D82" t="str">
        <v>Sutcliffe Road / NE Inner</v>
      </c>
      <c r="E82" t="str">
        <v>Stage 5</v>
      </c>
      <c r="F82" t="str">
        <v>Available</v>
      </c>
      <c r="G82" t="str">
        <v>Public</v>
      </c>
      <c r="I82" t="str">
        <v>Y</v>
      </c>
      <c r="N82" t="str">
        <v>Y</v>
      </c>
      <c r="Q82" t="str">
        <v>Inserted per V6 (not in V1)</v>
      </c>
    </row>
    <row r="83">
      <c r="A83">
        <v>260</v>
      </c>
      <c r="B83">
        <v>524</v>
      </c>
      <c r="C83" t="str">
        <v>Standard</v>
      </c>
      <c r="D83" t="str">
        <v>Sutcliffe Road / NE Inner</v>
      </c>
      <c r="E83" t="str">
        <v>Stage 5</v>
      </c>
      <c r="F83" t="str">
        <v>Available</v>
      </c>
      <c r="G83" t="str">
        <v>Public</v>
      </c>
      <c r="I83" t="str">
        <v>Y</v>
      </c>
      <c r="N83" t="str">
        <v>Y</v>
      </c>
      <c r="Q83" t="str">
        <v>Stage corrected Stage 3 → Stage 5; Area corrected 600 → 524 m² (V6 polygon); Zone corrected "Central" → "Sutcliffe Road / NE Inner"</v>
      </c>
    </row>
    <row r="84">
      <c r="A84">
        <v>273</v>
      </c>
      <c r="B84">
        <v>595</v>
      </c>
      <c r="C84" t="str">
        <v>Standard</v>
      </c>
      <c r="D84" t="str">
        <v>Central</v>
      </c>
      <c r="E84" t="str">
        <v>Stage 6</v>
      </c>
      <c r="F84" t="str">
        <v>Available</v>
      </c>
      <c r="G84" t="str">
        <v>Public</v>
      </c>
      <c r="I84" t="str">
        <v>Y</v>
      </c>
      <c r="N84" t="str">
        <v>Y</v>
      </c>
      <c r="Q84" t="str">
        <v>Stage corrected Stage 3 → Stage 6; Area corrected 690 → 595 m² (V6 polygon)</v>
      </c>
    </row>
    <row r="85">
      <c r="A85">
        <v>274</v>
      </c>
      <c r="B85">
        <v>525</v>
      </c>
      <c r="C85" t="str">
        <v>Standard</v>
      </c>
      <c r="D85" t="str">
        <v>Central</v>
      </c>
      <c r="E85" t="str">
        <v>Stage 6</v>
      </c>
      <c r="F85" t="str">
        <v>Available</v>
      </c>
      <c r="G85" t="str">
        <v>Public</v>
      </c>
      <c r="I85" t="str">
        <v>Y</v>
      </c>
      <c r="N85" t="str">
        <v>Y</v>
      </c>
      <c r="Q85" t="str">
        <v>Stage corrected Stage 3 → Stage 6; Area corrected 720 → 525 m² (V6 polygon)</v>
      </c>
    </row>
    <row r="86">
      <c r="A86">
        <v>275</v>
      </c>
      <c r="B86">
        <v>525</v>
      </c>
      <c r="C86" t="str">
        <v>Standard</v>
      </c>
      <c r="D86" t="str">
        <v>Central</v>
      </c>
      <c r="E86" t="str">
        <v>Stage 6</v>
      </c>
      <c r="F86" t="str">
        <v>Available</v>
      </c>
      <c r="G86" t="str">
        <v>Public</v>
      </c>
      <c r="I86" t="str">
        <v>Y</v>
      </c>
      <c r="N86" t="str">
        <v>Y</v>
      </c>
      <c r="Q86" t="str">
        <v>Stage corrected Stage 3 → Stage 6; Area corrected 600 → 525 m² (V6 polygon)</v>
      </c>
    </row>
    <row r="87">
      <c r="A87">
        <v>276</v>
      </c>
      <c r="B87">
        <v>595</v>
      </c>
      <c r="C87" t="str">
        <v>Standard</v>
      </c>
      <c r="D87" t="str">
        <v>Central</v>
      </c>
      <c r="E87" t="str">
        <v>Stage 6</v>
      </c>
      <c r="F87" t="str">
        <v>Available</v>
      </c>
      <c r="G87" t="str">
        <v>Public</v>
      </c>
      <c r="I87" t="str">
        <v>Y</v>
      </c>
      <c r="N87" t="str">
        <v>Y</v>
      </c>
      <c r="Q87" t="str">
        <v>Stage corrected Stage 3 → Stage 6; Area corrected 630 → 595 m² (V6 polygon)</v>
      </c>
    </row>
    <row r="88">
      <c r="A88">
        <v>277</v>
      </c>
      <c r="B88">
        <v>595</v>
      </c>
      <c r="C88" t="str">
        <v>Standard</v>
      </c>
      <c r="D88" t="str">
        <v>Central</v>
      </c>
      <c r="E88" t="str">
        <v>Stage 6</v>
      </c>
      <c r="F88" t="str">
        <v>Available</v>
      </c>
      <c r="G88" t="str">
        <v>Public</v>
      </c>
      <c r="I88" t="str">
        <v>Y</v>
      </c>
      <c r="N88" t="str">
        <v>Y</v>
      </c>
      <c r="Q88" t="str">
        <v>Stage corrected Stage 3 → Stage 6; Area corrected 660 → 595 m² (V6 polygon)</v>
      </c>
    </row>
    <row r="89">
      <c r="A89">
        <v>278</v>
      </c>
      <c r="B89">
        <v>525</v>
      </c>
      <c r="C89" t="str">
        <v>Standard</v>
      </c>
      <c r="D89" t="str">
        <v>Central</v>
      </c>
      <c r="E89" t="str">
        <v>Stage 6</v>
      </c>
      <c r="F89" t="str">
        <v>Available</v>
      </c>
      <c r="G89" t="str">
        <v>Public</v>
      </c>
      <c r="I89" t="str">
        <v>Y</v>
      </c>
      <c r="N89" t="str">
        <v>Y</v>
      </c>
      <c r="Q89" t="str">
        <v>Stage corrected Stage 3 → Stage 6; Area corrected 690 → 525 m² (V6 polygon)</v>
      </c>
    </row>
    <row r="90">
      <c r="A90">
        <v>279</v>
      </c>
      <c r="B90">
        <v>525</v>
      </c>
      <c r="C90" t="str">
        <v>Standard</v>
      </c>
      <c r="D90" t="str">
        <v>Central</v>
      </c>
      <c r="E90" t="str">
        <v>Stage 6</v>
      </c>
      <c r="F90" t="str">
        <v>Available</v>
      </c>
      <c r="G90" t="str">
        <v>Public</v>
      </c>
      <c r="I90" t="str">
        <v>Y</v>
      </c>
      <c r="N90" t="str">
        <v>Y</v>
      </c>
      <c r="Q90" t="str">
        <v>Stage corrected Stage 3 → Stage 6; Area corrected 720 → 525 m² (V6 polygon)</v>
      </c>
    </row>
    <row r="91">
      <c r="A91">
        <v>280</v>
      </c>
      <c r="B91">
        <v>595</v>
      </c>
      <c r="C91" t="str">
        <v>Standard</v>
      </c>
      <c r="D91" t="str">
        <v>Central</v>
      </c>
      <c r="E91" t="str">
        <v>Stage 6</v>
      </c>
      <c r="F91" t="str">
        <v>Available</v>
      </c>
      <c r="G91" t="str">
        <v>Public</v>
      </c>
      <c r="I91" t="str">
        <v>Y</v>
      </c>
      <c r="N91" t="str">
        <v>Y</v>
      </c>
      <c r="Q91" t="str">
        <v>Stage corrected Stage 3 → Stage 6; Area corrected 600 → 595 m² (V6 polygon)</v>
      </c>
    </row>
    <row r="92">
      <c r="A92">
        <v>281</v>
      </c>
      <c r="B92">
        <v>595</v>
      </c>
      <c r="C92" t="str">
        <v>Standard</v>
      </c>
      <c r="D92" t="str">
        <v>Central</v>
      </c>
      <c r="E92" t="str">
        <v>Stage 6</v>
      </c>
      <c r="F92" t="str">
        <v>Available</v>
      </c>
      <c r="G92" t="str">
        <v>Public</v>
      </c>
      <c r="I92" t="str">
        <v>Y</v>
      </c>
      <c r="N92" t="str">
        <v>Y</v>
      </c>
      <c r="Q92" t="str">
        <v>Stage corrected Stage 3 → Stage 6; Area corrected 630 → 595 m² (V6 polygon)</v>
      </c>
    </row>
    <row r="93">
      <c r="A93">
        <v>282</v>
      </c>
      <c r="B93">
        <v>595</v>
      </c>
      <c r="C93" t="str">
        <v>Standard</v>
      </c>
      <c r="D93" t="str">
        <v>Central</v>
      </c>
      <c r="E93" t="str">
        <v>Stage 6</v>
      </c>
      <c r="F93" t="str">
        <v>Available</v>
      </c>
      <c r="G93" t="str">
        <v>Public</v>
      </c>
      <c r="I93" t="str">
        <v>Y</v>
      </c>
      <c r="N93" t="str">
        <v>Y</v>
      </c>
      <c r="Q93" t="str">
        <v>Stage corrected Stage 3 → Stage 6; Area corrected 660 → 595 m² (V6 polygon)</v>
      </c>
    </row>
    <row r="94">
      <c r="A94">
        <v>283</v>
      </c>
      <c r="B94">
        <v>598</v>
      </c>
      <c r="C94" t="str">
        <v>Standard</v>
      </c>
      <c r="D94" t="str">
        <v>Central</v>
      </c>
      <c r="E94" t="str">
        <v>Stage 6</v>
      </c>
      <c r="F94" t="str">
        <v>Available</v>
      </c>
      <c r="G94" t="str">
        <v>Public</v>
      </c>
      <c r="I94" t="str">
        <v>Y</v>
      </c>
      <c r="N94" t="str">
        <v>Y</v>
      </c>
      <c r="Q94" t="str">
        <v>Stage corrected Stage 3 → Stage 6; Area corrected 690 → 598 m² (V6 polygon)</v>
      </c>
    </row>
    <row r="95">
      <c r="A95">
        <v>284</v>
      </c>
      <c r="B95">
        <v>598</v>
      </c>
      <c r="C95" t="str">
        <v>Standard</v>
      </c>
      <c r="D95" t="str">
        <v>Central</v>
      </c>
      <c r="E95" t="str">
        <v>Stage 6</v>
      </c>
      <c r="F95" t="str">
        <v>Available</v>
      </c>
      <c r="G95" t="str">
        <v>Public</v>
      </c>
      <c r="I95" t="str">
        <v>Y</v>
      </c>
      <c r="N95" t="str">
        <v>Y</v>
      </c>
      <c r="Q95" t="str">
        <v>Stage corrected Stage 3 → Stage 6; Area corrected 720 → 598 m² (V6 polygon)</v>
      </c>
    </row>
    <row r="96">
      <c r="A96">
        <v>285</v>
      </c>
      <c r="B96">
        <v>595</v>
      </c>
      <c r="C96" t="str">
        <v>Standard</v>
      </c>
      <c r="D96" t="str">
        <v>Central</v>
      </c>
      <c r="E96" t="str">
        <v>Stage 6</v>
      </c>
      <c r="F96" t="str">
        <v>Available</v>
      </c>
      <c r="G96" t="str">
        <v>Public</v>
      </c>
      <c r="I96" t="str">
        <v>Y</v>
      </c>
      <c r="N96" t="str">
        <v>Y</v>
      </c>
      <c r="Q96" t="str">
        <v>Stage corrected Stage 4 → Stage 6; Area corrected 580 → 595 m² (V6 polygon); Zone corrected "East" → "Central"</v>
      </c>
    </row>
    <row r="97">
      <c r="A97">
        <v>286</v>
      </c>
      <c r="B97">
        <v>595</v>
      </c>
      <c r="C97" t="str">
        <v>Standard</v>
      </c>
      <c r="D97" t="str">
        <v>Central</v>
      </c>
      <c r="E97" t="str">
        <v>Stage 6</v>
      </c>
      <c r="F97" t="str">
        <v>Available</v>
      </c>
      <c r="G97" t="str">
        <v>Public</v>
      </c>
      <c r="I97" t="str">
        <v>Y</v>
      </c>
      <c r="N97" t="str">
        <v>Y</v>
      </c>
      <c r="Q97" t="str">
        <v>Stage corrected Stage 4 → Stage 6; Area corrected 620 → 595 m² (V6 polygon); Zone corrected "East" → "Central"</v>
      </c>
    </row>
    <row r="98">
      <c r="A98">
        <v>287</v>
      </c>
      <c r="B98">
        <v>595</v>
      </c>
      <c r="C98" t="str">
        <v>Standard</v>
      </c>
      <c r="D98" t="str">
        <v>Central</v>
      </c>
      <c r="E98" t="str">
        <v>Stage 6</v>
      </c>
      <c r="F98" t="str">
        <v>Available</v>
      </c>
      <c r="G98" t="str">
        <v>Public</v>
      </c>
      <c r="I98" t="str">
        <v>Y</v>
      </c>
      <c r="N98" t="str">
        <v>Y</v>
      </c>
      <c r="Q98" t="str">
        <v>Stage corrected Stage 4 → Stage 6; Area corrected 660 → 595 m² (V6 polygon); Zone corrected "East" → "Central"</v>
      </c>
    </row>
    <row r="99">
      <c r="A99">
        <v>288</v>
      </c>
      <c r="B99">
        <v>525</v>
      </c>
      <c r="C99" t="str">
        <v>Standard</v>
      </c>
      <c r="D99" t="str">
        <v>Central</v>
      </c>
      <c r="E99" t="str">
        <v>Stage 6</v>
      </c>
      <c r="F99" t="str">
        <v>Available</v>
      </c>
      <c r="G99" t="str">
        <v>Public</v>
      </c>
      <c r="I99" t="str">
        <v>Y</v>
      </c>
      <c r="N99" t="str">
        <v>Y</v>
      </c>
      <c r="Q99" t="str">
        <v>Stage corrected Stage 4 → Stage 6; Area corrected 700 → 525 m² (V6 polygon); Zone corrected "East" → "Central"</v>
      </c>
    </row>
    <row r="100">
      <c r="A100">
        <v>289</v>
      </c>
      <c r="B100">
        <v>525</v>
      </c>
      <c r="C100" t="str">
        <v>Standard</v>
      </c>
      <c r="D100" t="str">
        <v>Central</v>
      </c>
      <c r="E100" t="str">
        <v>Stage 6</v>
      </c>
      <c r="F100" t="str">
        <v>Available</v>
      </c>
      <c r="G100" t="str">
        <v>Public</v>
      </c>
      <c r="I100" t="str">
        <v>Y</v>
      </c>
      <c r="N100" t="str">
        <v>Y</v>
      </c>
      <c r="Q100" t="str">
        <v>Stage corrected Stage 4 → Stage 6; Area corrected 740 → 525 m² (V6 polygon); Zone corrected "East" → "Central"</v>
      </c>
    </row>
    <row r="101">
      <c r="A101">
        <v>290</v>
      </c>
      <c r="B101">
        <v>595</v>
      </c>
      <c r="C101" t="str">
        <v>Standard</v>
      </c>
      <c r="D101" t="str">
        <v>Central</v>
      </c>
      <c r="E101" t="str">
        <v>Stage 6</v>
      </c>
      <c r="F101" t="str">
        <v>Available</v>
      </c>
      <c r="G101" t="str">
        <v>Public</v>
      </c>
      <c r="I101" t="str">
        <v>Y</v>
      </c>
      <c r="N101" t="str">
        <v>Y</v>
      </c>
      <c r="Q101" t="str">
        <v>Stage corrected Stage 4 → Stage 6; Area corrected 580 → 595 m² (V6 polygon); Zone corrected "East" → "Central"</v>
      </c>
    </row>
    <row r="102">
      <c r="A102">
        <v>291</v>
      </c>
      <c r="B102">
        <v>595</v>
      </c>
      <c r="C102" t="str">
        <v>Standard</v>
      </c>
      <c r="D102" t="str">
        <v>Central</v>
      </c>
      <c r="E102" t="str">
        <v>Stage 6</v>
      </c>
      <c r="F102" t="str">
        <v>Available</v>
      </c>
      <c r="G102" t="str">
        <v>Public</v>
      </c>
      <c r="I102" t="str">
        <v>Y</v>
      </c>
      <c r="N102" t="str">
        <v>Y</v>
      </c>
      <c r="Q102" t="str">
        <v>Stage corrected Stage 4 → Stage 6; Area corrected 620 → 595 m² (V6 polygon); Zone corrected "East" → "Central"</v>
      </c>
    </row>
    <row r="103">
      <c r="A103">
        <v>292</v>
      </c>
      <c r="B103">
        <v>783</v>
      </c>
      <c r="C103" t="str">
        <v>Premium</v>
      </c>
      <c r="D103" t="str">
        <v>Central</v>
      </c>
      <c r="E103" t="str">
        <v>Stage 6</v>
      </c>
      <c r="F103" t="str">
        <v>Available</v>
      </c>
      <c r="G103" t="str">
        <v>Public</v>
      </c>
      <c r="I103" t="str">
        <v>Y</v>
      </c>
      <c r="N103" t="str">
        <v>Y</v>
      </c>
      <c r="Q103" t="str">
        <v>Stage corrected Stage 4 → Stage 6; Area corrected 660 → 783 m² (V6 polygon); Zone corrected "East" → "Central"; Geometry amended in 08B WAPC202888 overlay</v>
      </c>
    </row>
    <row r="104">
      <c r="A104">
        <v>294</v>
      </c>
      <c r="B104">
        <v>797</v>
      </c>
      <c r="C104" t="str">
        <v>Premium</v>
      </c>
      <c r="D104" t="str">
        <v>Central</v>
      </c>
      <c r="E104" t="str">
        <v>Stage 6</v>
      </c>
      <c r="F104" t="str">
        <v>Available</v>
      </c>
      <c r="G104" t="str">
        <v>Public</v>
      </c>
      <c r="I104" t="str">
        <v>Y</v>
      </c>
      <c r="N104" t="str">
        <v>Y</v>
      </c>
      <c r="Q104" t="str">
        <v>Stage corrected Stage 4 → Stage 6; Area corrected 740 → 797 m² (V6 polygon); Zone corrected "East" → "Central"; Duplicate polygon (idSuffix=a); pending CLE renumber; Geometry amended in 08B WAPC202888 overlay</v>
      </c>
    </row>
    <row r="105">
      <c r="A105">
        <v>294</v>
      </c>
      <c r="B105">
        <v>797</v>
      </c>
      <c r="C105" t="str">
        <v>Premium</v>
      </c>
      <c r="D105" t="str">
        <v>Central</v>
      </c>
      <c r="E105" t="str">
        <v>Stage 6</v>
      </c>
      <c r="F105" t="str">
        <v>Available</v>
      </c>
      <c r="G105" t="str">
        <v>Public</v>
      </c>
      <c r="I105" t="str">
        <v>Y</v>
      </c>
      <c r="N105" t="str">
        <v>Y</v>
      </c>
      <c r="Q105" t="str">
        <v>Stage corrected Stage 4 → Stage 6; Area corrected 740 → 797 m² (V6 polygon); Zone corrected "East" → "Central"; Duplicate polygon (idSuffix=b); pending CLE renumber; Geometry amended in 08B WAPC202888 overlay</v>
      </c>
    </row>
    <row r="106">
      <c r="A106">
        <v>295</v>
      </c>
      <c r="B106">
        <v>691</v>
      </c>
      <c r="C106" t="str">
        <v>Large</v>
      </c>
      <c r="D106" t="str">
        <v>Central</v>
      </c>
      <c r="E106" t="str">
        <v>Stage 6</v>
      </c>
      <c r="F106" t="str">
        <v>Available</v>
      </c>
      <c r="G106" t="str">
        <v>Public</v>
      </c>
      <c r="I106" t="str">
        <v>Y</v>
      </c>
      <c r="N106" t="str">
        <v>Y</v>
      </c>
      <c r="Q106" t="str">
        <v>Stage corrected Stage 4 → Stage 6; Area corrected 580 → 691 m² (V6 polygon); Zone corrected "East" → "Central"</v>
      </c>
    </row>
    <row r="107">
      <c r="A107">
        <v>296</v>
      </c>
      <c r="B107">
        <v>680</v>
      </c>
      <c r="C107" t="str">
        <v>Large</v>
      </c>
      <c r="D107" t="str">
        <v>Central</v>
      </c>
      <c r="E107" t="str">
        <v>Stage 6</v>
      </c>
      <c r="F107" t="str">
        <v>Available</v>
      </c>
      <c r="G107" t="str">
        <v>Public</v>
      </c>
      <c r="I107" t="str">
        <v>Y</v>
      </c>
      <c r="N107" t="str">
        <v>Y</v>
      </c>
      <c r="Q107" t="str">
        <v>Stage corrected Stage 4 → Stage 6; Area corrected 620 → 680 m² (V6 polygon); Zone corrected "East" → "Central"</v>
      </c>
    </row>
    <row r="108">
      <c r="A108">
        <v>297</v>
      </c>
      <c r="B108">
        <v>680</v>
      </c>
      <c r="C108" t="str">
        <v>Large</v>
      </c>
      <c r="D108" t="str">
        <v>Central</v>
      </c>
      <c r="E108" t="str">
        <v>Stage 6</v>
      </c>
      <c r="F108" t="str">
        <v>Available</v>
      </c>
      <c r="G108" t="str">
        <v>Public</v>
      </c>
      <c r="I108" t="str">
        <v>Y</v>
      </c>
      <c r="N108" t="str">
        <v>Y</v>
      </c>
      <c r="Q108" t="str">
        <v>Stage corrected Stage 4 → Stage 6; Area corrected 660 → 680 m² (V6 polygon); Zone corrected "East" → "Central"</v>
      </c>
    </row>
    <row r="109">
      <c r="A109">
        <v>298</v>
      </c>
      <c r="B109">
        <v>680</v>
      </c>
      <c r="C109" t="str">
        <v>Large</v>
      </c>
      <c r="D109" t="str">
        <v>Central</v>
      </c>
      <c r="E109" t="str">
        <v>Stage 6</v>
      </c>
      <c r="F109" t="str">
        <v>Available</v>
      </c>
      <c r="G109" t="str">
        <v>Public</v>
      </c>
      <c r="I109" t="str">
        <v>Y</v>
      </c>
      <c r="N109" t="str">
        <v>Y</v>
      </c>
      <c r="Q109" t="str">
        <v>Stage corrected Stage 4 → Stage 6; Area corrected 700 → 680 m² (V6 polygon); Zone corrected "East" → "Central"</v>
      </c>
    </row>
    <row r="110">
      <c r="A110">
        <v>299</v>
      </c>
      <c r="B110">
        <v>680</v>
      </c>
      <c r="C110" t="str">
        <v>Large</v>
      </c>
      <c r="D110" t="str">
        <v>Central</v>
      </c>
      <c r="E110" t="str">
        <v>Stage 6</v>
      </c>
      <c r="F110" t="str">
        <v>Available</v>
      </c>
      <c r="G110" t="str">
        <v>Public</v>
      </c>
      <c r="I110" t="str">
        <v>Y</v>
      </c>
      <c r="N110" t="str">
        <v>Y</v>
      </c>
      <c r="Q110" t="str">
        <v>Stage corrected Stage 4 → Stage 6; Area corrected 740 → 680 m² (V6 polygon); Zone corrected "East" → "Central"</v>
      </c>
    </row>
    <row r="111">
      <c r="A111">
        <v>300</v>
      </c>
      <c r="B111">
        <v>680</v>
      </c>
      <c r="C111" t="str">
        <v>Large</v>
      </c>
      <c r="D111" t="str">
        <v>Central</v>
      </c>
      <c r="E111" t="str">
        <v>Stage 6</v>
      </c>
      <c r="F111" t="str">
        <v>Available</v>
      </c>
      <c r="G111" t="str">
        <v>Public</v>
      </c>
      <c r="I111" t="str">
        <v>Y</v>
      </c>
      <c r="N111" t="str">
        <v>Y</v>
      </c>
      <c r="Q111" t="str">
        <v>Stage corrected Stage 4 → Stage 6; Area corrected 580 → 680 m² (V6 polygon); Zone corrected "East" → "Central"</v>
      </c>
    </row>
    <row r="112">
      <c r="A112">
        <v>301</v>
      </c>
      <c r="B112">
        <v>680</v>
      </c>
      <c r="C112" t="str">
        <v>Large</v>
      </c>
      <c r="D112" t="str">
        <v>Central</v>
      </c>
      <c r="E112" t="str">
        <v>Stage 6</v>
      </c>
      <c r="F112" t="str">
        <v>Available</v>
      </c>
      <c r="G112" t="str">
        <v>Public</v>
      </c>
      <c r="I112" t="str">
        <v>Y</v>
      </c>
      <c r="N112" t="str">
        <v>Y</v>
      </c>
      <c r="Q112" t="str">
        <v>Stage corrected Stage 4 → Stage 6; Area corrected 620 → 680 m² (V6 polygon); Zone corrected "East" → "Central"</v>
      </c>
    </row>
    <row r="113">
      <c r="A113">
        <v>302</v>
      </c>
      <c r="B113">
        <v>580</v>
      </c>
      <c r="C113" t="str">
        <v>Standard</v>
      </c>
      <c r="D113" t="str">
        <v>Central</v>
      </c>
      <c r="E113" t="str">
        <v>Stage 6</v>
      </c>
      <c r="F113" t="str">
        <v>Available</v>
      </c>
      <c r="G113" t="str">
        <v>Public</v>
      </c>
      <c r="I113" t="str">
        <v>Y</v>
      </c>
      <c r="N113" t="str">
        <v>Y</v>
      </c>
      <c r="Q113" t="str">
        <v>Stage corrected Stage 4 → Stage 6; Area corrected 660 → 580 m² (V6 polygon); Zone corrected "East" → "Central"; Geometry amended in 08B WAPC202888 overlay</v>
      </c>
    </row>
    <row r="114">
      <c r="A114">
        <v>303</v>
      </c>
      <c r="B114">
        <v>680</v>
      </c>
      <c r="C114" t="str">
        <v>Large</v>
      </c>
      <c r="D114" t="str">
        <v>Central</v>
      </c>
      <c r="E114" t="str">
        <v>Stage 6</v>
      </c>
      <c r="F114" t="str">
        <v>Available</v>
      </c>
      <c r="G114" t="str">
        <v>Public</v>
      </c>
      <c r="I114" t="str">
        <v>Y</v>
      </c>
      <c r="N114" t="str">
        <v>Y</v>
      </c>
      <c r="Q114" t="str">
        <v>Stage corrected Stage 4 → Stage 6; Area corrected 700 → 680 m² (V6 polygon); Zone corrected "East" → "Central"</v>
      </c>
    </row>
    <row r="115">
      <c r="A115">
        <v>304</v>
      </c>
      <c r="B115">
        <v>600</v>
      </c>
      <c r="C115" t="str">
        <v>Large</v>
      </c>
      <c r="D115" t="str">
        <v>Central</v>
      </c>
      <c r="E115" t="str">
        <v>Stage 6</v>
      </c>
      <c r="F115" t="str">
        <v>Available</v>
      </c>
      <c r="G115" t="str">
        <v>Public</v>
      </c>
      <c r="I115" t="str">
        <v>Y</v>
      </c>
      <c r="N115" t="str">
        <v>Y</v>
      </c>
      <c r="Q115" t="str">
        <v>Stage corrected Stage 4 → Stage 6; Area corrected 740 → 600 m² (V6 polygon); Zone corrected "East" → "Central"</v>
      </c>
    </row>
    <row r="116">
      <c r="A116">
        <v>305</v>
      </c>
      <c r="B116">
        <v>610</v>
      </c>
      <c r="C116" t="str">
        <v>Large</v>
      </c>
      <c r="D116" t="str">
        <v>Central</v>
      </c>
      <c r="E116" t="str">
        <v>Stage 6</v>
      </c>
      <c r="F116" t="str">
        <v>Available</v>
      </c>
      <c r="G116" t="str">
        <v>Public</v>
      </c>
      <c r="I116" t="str">
        <v>Y</v>
      </c>
      <c r="N116" t="str">
        <v>Y</v>
      </c>
      <c r="Q116" t="str">
        <v>Stage corrected Stage 4 → Stage 6; Area corrected 580 → 610 m² (V6 polygon); Zone corrected "East" → "Central"; Geometry amended in 08B WAPC202888 overlay</v>
      </c>
    </row>
    <row r="117">
      <c r="A117">
        <v>306</v>
      </c>
      <c r="B117">
        <v>650</v>
      </c>
      <c r="C117" t="str">
        <v>Large</v>
      </c>
      <c r="D117" t="str">
        <v>Central</v>
      </c>
      <c r="E117" t="str">
        <v>Stage 6</v>
      </c>
      <c r="F117" t="str">
        <v>Available</v>
      </c>
      <c r="G117" t="str">
        <v>Public</v>
      </c>
      <c r="I117" t="str">
        <v>Y</v>
      </c>
      <c r="N117" t="str">
        <v>Y</v>
      </c>
      <c r="Q117" t="str">
        <v>Stage corrected Stage 4 → Stage 6; Area corrected 620 → 650 m² (V6 polygon); Zone corrected "East" → "Central"; Geometry amended in 08B WAPC202888 overlay</v>
      </c>
    </row>
    <row r="118">
      <c r="A118">
        <v>307</v>
      </c>
      <c r="B118">
        <v>536</v>
      </c>
      <c r="C118" t="str">
        <v>Standard</v>
      </c>
      <c r="D118" t="str">
        <v>Central</v>
      </c>
      <c r="E118" t="str">
        <v>Stage 6</v>
      </c>
      <c r="F118" t="str">
        <v>Available</v>
      </c>
      <c r="G118" t="str">
        <v>Public</v>
      </c>
      <c r="I118" t="str">
        <v>Y</v>
      </c>
      <c r="N118" t="str">
        <v>Y</v>
      </c>
      <c r="Q118" t="str">
        <v>Stage corrected Stage 4 → Stage 6; Area corrected 660 → 536 m² (V6 polygon); Zone corrected "East" → "Central"; Geometry amended in 08B WAPC202888 overlay</v>
      </c>
    </row>
    <row r="119">
      <c r="A119">
        <v>352</v>
      </c>
      <c r="B119">
        <v>593</v>
      </c>
      <c r="C119" t="str">
        <v>Standard</v>
      </c>
      <c r="D119" t="str">
        <v>Collins Road</v>
      </c>
      <c r="E119" t="str">
        <v>Stage 7</v>
      </c>
      <c r="F119" t="str">
        <v>Available</v>
      </c>
      <c r="G119" t="str">
        <v>Public</v>
      </c>
      <c r="I119" t="str">
        <v>Y</v>
      </c>
      <c r="N119" t="str">
        <v>Y</v>
      </c>
      <c r="Q119" t="str">
        <v>Inserted per V6 (not in V1)</v>
      </c>
    </row>
    <row r="120">
      <c r="A120">
        <v>353</v>
      </c>
      <c r="B120">
        <v>555</v>
      </c>
      <c r="C120" t="str">
        <v>Standard</v>
      </c>
      <c r="D120" t="str">
        <v>Collins Road</v>
      </c>
      <c r="E120" t="str">
        <v>Stage 7</v>
      </c>
      <c r="F120" t="str">
        <v>Available</v>
      </c>
      <c r="G120" t="str">
        <v>Public</v>
      </c>
      <c r="I120" t="str">
        <v>Y</v>
      </c>
      <c r="N120" t="str">
        <v>Y</v>
      </c>
      <c r="Q120" t="str">
        <v>Inserted per V6 (not in V1)</v>
      </c>
    </row>
    <row r="121">
      <c r="A121">
        <v>354</v>
      </c>
      <c r="B121">
        <v>555</v>
      </c>
      <c r="C121" t="str">
        <v>Standard</v>
      </c>
      <c r="D121" t="str">
        <v>Collins Road</v>
      </c>
      <c r="E121" t="str">
        <v>Stage 7</v>
      </c>
      <c r="F121" t="str">
        <v>Available</v>
      </c>
      <c r="G121" t="str">
        <v>Public</v>
      </c>
      <c r="I121" t="str">
        <v>Y</v>
      </c>
      <c r="N121" t="str">
        <v>Y</v>
      </c>
      <c r="Q121" t="str">
        <v>Inserted per V6 (not in V1)</v>
      </c>
    </row>
    <row r="122">
      <c r="A122">
        <v>355</v>
      </c>
      <c r="B122">
        <v>555</v>
      </c>
      <c r="C122" t="str">
        <v>Standard</v>
      </c>
      <c r="D122" t="str">
        <v>Collins Road</v>
      </c>
      <c r="E122" t="str">
        <v>Stage 7</v>
      </c>
      <c r="F122" t="str">
        <v>Available</v>
      </c>
      <c r="G122" t="str">
        <v>Public</v>
      </c>
      <c r="I122" t="str">
        <v>Y</v>
      </c>
      <c r="N122" t="str">
        <v>Y</v>
      </c>
      <c r="Q122" t="str">
        <v>Inserted per V6 (not in V1)</v>
      </c>
    </row>
    <row r="123">
      <c r="A123">
        <v>356</v>
      </c>
      <c r="B123">
        <v>629</v>
      </c>
      <c r="C123" t="str">
        <v>Large</v>
      </c>
      <c r="D123" t="str">
        <v>Collins Road</v>
      </c>
      <c r="E123" t="str">
        <v>Stage 7</v>
      </c>
      <c r="F123" t="str">
        <v>Available</v>
      </c>
      <c r="G123" t="str">
        <v>Public</v>
      </c>
      <c r="I123" t="str">
        <v>Y</v>
      </c>
      <c r="N123" t="str">
        <v>Y</v>
      </c>
      <c r="Q123" t="str">
        <v>Inserted per V6 (not in V1)</v>
      </c>
    </row>
    <row r="124">
      <c r="A124">
        <v>357</v>
      </c>
      <c r="B124">
        <v>629</v>
      </c>
      <c r="C124" t="str">
        <v>Large</v>
      </c>
      <c r="D124" t="str">
        <v>Collins Road</v>
      </c>
      <c r="E124" t="str">
        <v>Stage 7</v>
      </c>
      <c r="F124" t="str">
        <v>Available</v>
      </c>
      <c r="G124" t="str">
        <v>Public</v>
      </c>
      <c r="I124" t="str">
        <v>Y</v>
      </c>
      <c r="N124" t="str">
        <v>Y</v>
      </c>
      <c r="Q124" t="str">
        <v>Inserted per V6 (not in V1)</v>
      </c>
    </row>
    <row r="125">
      <c r="A125">
        <v>358</v>
      </c>
      <c r="B125">
        <v>629</v>
      </c>
      <c r="C125" t="str">
        <v>Large</v>
      </c>
      <c r="D125" t="str">
        <v>Collins Road</v>
      </c>
      <c r="E125" t="str">
        <v>Stage 7</v>
      </c>
      <c r="F125" t="str">
        <v>Available</v>
      </c>
      <c r="G125" t="str">
        <v>Public</v>
      </c>
      <c r="I125" t="str">
        <v>Y</v>
      </c>
      <c r="N125" t="str">
        <v>Y</v>
      </c>
      <c r="Q125" t="str">
        <v>Inserted per V6 (not in V1)</v>
      </c>
    </row>
    <row r="126">
      <c r="A126">
        <v>359</v>
      </c>
      <c r="B126">
        <v>555</v>
      </c>
      <c r="C126" t="str">
        <v>Standard</v>
      </c>
      <c r="D126" t="str">
        <v>Collins Road</v>
      </c>
      <c r="E126" t="str">
        <v>Stage 7</v>
      </c>
      <c r="F126" t="str">
        <v>Available</v>
      </c>
      <c r="G126" t="str">
        <v>Public</v>
      </c>
      <c r="I126" t="str">
        <v>Y</v>
      </c>
      <c r="N126" t="str">
        <v>Y</v>
      </c>
      <c r="Q126" t="str">
        <v>Inserted per V6 (not in V1)</v>
      </c>
    </row>
    <row r="127">
      <c r="A127">
        <v>360</v>
      </c>
      <c r="B127">
        <v>555</v>
      </c>
      <c r="C127" t="str">
        <v>Standard</v>
      </c>
      <c r="D127" t="str">
        <v>Collins Road</v>
      </c>
      <c r="E127" t="str">
        <v>Stage 7</v>
      </c>
      <c r="F127" t="str">
        <v>Available</v>
      </c>
      <c r="G127" t="str">
        <v>Public</v>
      </c>
      <c r="I127" t="str">
        <v>Y</v>
      </c>
      <c r="N127" t="str">
        <v>Y</v>
      </c>
      <c r="Q127" t="str">
        <v>Inserted per V6 (not in V1)</v>
      </c>
    </row>
    <row r="128">
      <c r="A128">
        <v>361</v>
      </c>
      <c r="B128">
        <v>555</v>
      </c>
      <c r="C128" t="str">
        <v>Standard</v>
      </c>
      <c r="D128" t="str">
        <v>Collins Road</v>
      </c>
      <c r="E128" t="str">
        <v>Stage 7</v>
      </c>
      <c r="F128" t="str">
        <v>Available</v>
      </c>
      <c r="G128" t="str">
        <v>Public</v>
      </c>
      <c r="I128" t="str">
        <v>Y</v>
      </c>
      <c r="N128" t="str">
        <v>Y</v>
      </c>
      <c r="Q128" t="str">
        <v>Inserted per V6 (not in V1)</v>
      </c>
    </row>
    <row r="129">
      <c r="A129">
        <v>362</v>
      </c>
      <c r="B129">
        <v>555</v>
      </c>
      <c r="C129" t="str">
        <v>Standard</v>
      </c>
      <c r="D129" t="str">
        <v>Collins Road</v>
      </c>
      <c r="E129" t="str">
        <v>Stage 7</v>
      </c>
      <c r="F129" t="str">
        <v>Available</v>
      </c>
      <c r="G129" t="str">
        <v>Public</v>
      </c>
      <c r="I129" t="str">
        <v>Y</v>
      </c>
      <c r="N129" t="str">
        <v>Y</v>
      </c>
      <c r="Q129" t="str">
        <v>Inserted per V6 (not in V1)</v>
      </c>
    </row>
    <row r="130">
      <c r="A130">
        <v>363</v>
      </c>
      <c r="B130">
        <v>555</v>
      </c>
      <c r="C130" t="str">
        <v>Standard</v>
      </c>
      <c r="D130" t="str">
        <v>Collins Road</v>
      </c>
      <c r="E130" t="str">
        <v>Stage 7</v>
      </c>
      <c r="F130" t="str">
        <v>Available</v>
      </c>
      <c r="G130" t="str">
        <v>Public</v>
      </c>
      <c r="I130" t="str">
        <v>Y</v>
      </c>
      <c r="N130" t="str">
        <v>Y</v>
      </c>
      <c r="Q130" t="str">
        <v>Inserted per V6 (not in V1)</v>
      </c>
    </row>
    <row r="131">
      <c r="A131">
        <v>364</v>
      </c>
      <c r="B131">
        <v>629</v>
      </c>
      <c r="C131" t="str">
        <v>Large</v>
      </c>
      <c r="D131" t="str">
        <v>Collins Road</v>
      </c>
      <c r="E131" t="str">
        <v>Stage 7</v>
      </c>
      <c r="F131" t="str">
        <v>Available</v>
      </c>
      <c r="G131" t="str">
        <v>Public</v>
      </c>
      <c r="I131" t="str">
        <v>Y</v>
      </c>
      <c r="N131" t="str">
        <v>Y</v>
      </c>
      <c r="Q131" t="str">
        <v>Inserted per V6 (not in V1)</v>
      </c>
    </row>
    <row r="132">
      <c r="A132">
        <v>365</v>
      </c>
      <c r="B132">
        <v>629</v>
      </c>
      <c r="C132" t="str">
        <v>Large</v>
      </c>
      <c r="D132" t="str">
        <v>Collins Road</v>
      </c>
      <c r="E132" t="str">
        <v>Stage 7</v>
      </c>
      <c r="F132" t="str">
        <v>Available</v>
      </c>
      <c r="G132" t="str">
        <v>Public</v>
      </c>
      <c r="I132" t="str">
        <v>Y</v>
      </c>
      <c r="N132" t="str">
        <v>Y</v>
      </c>
      <c r="Q132" t="str">
        <v>Inserted per V6 (not in V1)</v>
      </c>
    </row>
    <row r="133">
      <c r="A133">
        <v>366</v>
      </c>
      <c r="B133">
        <v>629</v>
      </c>
      <c r="C133" t="str">
        <v>Large</v>
      </c>
      <c r="D133" t="str">
        <v>Collins Road</v>
      </c>
      <c r="E133" t="str">
        <v>Stage 7</v>
      </c>
      <c r="F133" t="str">
        <v>Available</v>
      </c>
      <c r="G133" t="str">
        <v>Public</v>
      </c>
      <c r="I133" t="str">
        <v>Y</v>
      </c>
      <c r="N133" t="str">
        <v>Y</v>
      </c>
      <c r="Q133" t="str">
        <v>Inserted per V6 (not in V1)</v>
      </c>
    </row>
    <row r="134">
      <c r="A134">
        <v>367</v>
      </c>
      <c r="B134">
        <v>647</v>
      </c>
      <c r="C134" t="str">
        <v>Large</v>
      </c>
      <c r="D134" t="str">
        <v>Collins Road</v>
      </c>
      <c r="E134" t="str">
        <v>Stage 7</v>
      </c>
      <c r="F134" t="str">
        <v>Available</v>
      </c>
      <c r="G134" t="str">
        <v>Public</v>
      </c>
      <c r="I134" t="str">
        <v>Y</v>
      </c>
      <c r="N134" t="str">
        <v>Y</v>
      </c>
      <c r="Q134" t="str">
        <v>Inserted per V6 (not in V1)</v>
      </c>
    </row>
    <row r="135">
      <c r="A135">
        <v>368</v>
      </c>
      <c r="B135">
        <v>647</v>
      </c>
      <c r="C135" t="str">
        <v>Large</v>
      </c>
      <c r="D135" t="str">
        <v>Collins Road</v>
      </c>
      <c r="E135" t="str">
        <v>Stage 7</v>
      </c>
      <c r="F135" t="str">
        <v>Available</v>
      </c>
      <c r="G135" t="str">
        <v>Public</v>
      </c>
      <c r="I135" t="str">
        <v>Y</v>
      </c>
      <c r="N135" t="str">
        <v>Y</v>
      </c>
      <c r="Q135" t="str">
        <v>Inserted per V6 (not in V1)</v>
      </c>
    </row>
    <row r="136">
      <c r="A136">
        <v>369</v>
      </c>
      <c r="B136">
        <v>647</v>
      </c>
      <c r="C136" t="str">
        <v>Large</v>
      </c>
      <c r="D136" t="str">
        <v>Collins Road</v>
      </c>
      <c r="E136" t="str">
        <v>Stage 7</v>
      </c>
      <c r="F136" t="str">
        <v>Available</v>
      </c>
      <c r="G136" t="str">
        <v>Public</v>
      </c>
      <c r="I136" t="str">
        <v>Y</v>
      </c>
      <c r="N136" t="str">
        <v>Y</v>
      </c>
      <c r="Q136" t="str">
        <v>Inserted per V6 (not in V1)</v>
      </c>
    </row>
    <row r="137">
      <c r="A137">
        <v>370</v>
      </c>
      <c r="B137">
        <v>571</v>
      </c>
      <c r="C137" t="str">
        <v>Standard</v>
      </c>
      <c r="D137" t="str">
        <v>Collins Road</v>
      </c>
      <c r="E137" t="str">
        <v>Stage 7</v>
      </c>
      <c r="F137" t="str">
        <v>Available</v>
      </c>
      <c r="G137" t="str">
        <v>Public</v>
      </c>
      <c r="I137" t="str">
        <v>Y</v>
      </c>
      <c r="N137" t="str">
        <v>Y</v>
      </c>
      <c r="Q137" t="str">
        <v>Stage corrected Stage 6 → Stage 7; Area corrected 595 → 571 m² (V6 polygon); Zone corrected "Central Upper" → "Collins Road"</v>
      </c>
    </row>
    <row r="138">
      <c r="A138">
        <v>371</v>
      </c>
      <c r="B138">
        <v>571</v>
      </c>
      <c r="C138" t="str">
        <v>Standard</v>
      </c>
      <c r="D138" t="str">
        <v>Collins Road</v>
      </c>
      <c r="E138" t="str">
        <v>Stage 7</v>
      </c>
      <c r="F138" t="str">
        <v>Available</v>
      </c>
      <c r="G138" t="str">
        <v>Public</v>
      </c>
      <c r="I138" t="str">
        <v>Y</v>
      </c>
      <c r="N138" t="str">
        <v>Y</v>
      </c>
      <c r="Q138" t="str">
        <v>Stage corrected Stage 6 → Stage 7; Area corrected 625 → 571 m² (V6 polygon); Zone corrected "Central Upper" → "Collins Road"</v>
      </c>
    </row>
    <row r="139">
      <c r="A139">
        <v>372</v>
      </c>
      <c r="B139">
        <v>571</v>
      </c>
      <c r="C139" t="str">
        <v>Standard</v>
      </c>
      <c r="D139" t="str">
        <v>Collins Road</v>
      </c>
      <c r="E139" t="str">
        <v>Stage 7</v>
      </c>
      <c r="F139" t="str">
        <v>Available</v>
      </c>
      <c r="G139" t="str">
        <v>Public</v>
      </c>
      <c r="I139" t="str">
        <v>Y</v>
      </c>
      <c r="N139" t="str">
        <v>Y</v>
      </c>
      <c r="Q139" t="str">
        <v>Stage corrected Stage 6 → Stage 7; Area corrected 655 → 571 m² (V6 polygon); Zone corrected "Central Upper" → "Collins Road"</v>
      </c>
    </row>
    <row r="140">
      <c r="A140">
        <v>373</v>
      </c>
      <c r="B140">
        <v>571</v>
      </c>
      <c r="C140" t="str">
        <v>Standard</v>
      </c>
      <c r="D140" t="str">
        <v>Collins Road</v>
      </c>
      <c r="E140" t="str">
        <v>Stage 7</v>
      </c>
      <c r="F140" t="str">
        <v>Available</v>
      </c>
      <c r="G140" t="str">
        <v>Public</v>
      </c>
      <c r="I140" t="str">
        <v>Y</v>
      </c>
      <c r="N140" t="str">
        <v>Y</v>
      </c>
      <c r="Q140" t="str">
        <v>Stage corrected Stage 6 → Stage 7; Area corrected 685 → 571 m² (V6 polygon); Zone corrected "Central Upper" → "Collins Road"</v>
      </c>
    </row>
    <row r="141">
      <c r="A141">
        <v>374</v>
      </c>
      <c r="B141">
        <v>571</v>
      </c>
      <c r="C141" t="str">
        <v>Standard</v>
      </c>
      <c r="D141" t="str">
        <v>Collins Road</v>
      </c>
      <c r="E141" t="str">
        <v>Stage 7</v>
      </c>
      <c r="F141" t="str">
        <v>Available</v>
      </c>
      <c r="G141" t="str">
        <v>Public</v>
      </c>
      <c r="I141" t="str">
        <v>Y</v>
      </c>
      <c r="N141" t="str">
        <v>Y</v>
      </c>
      <c r="Q141" t="str">
        <v>Stage corrected Stage 6 → Stage 7; Area corrected 715 → 571 m² (V6 polygon); Zone corrected "Central Upper" → "Collins Road"</v>
      </c>
    </row>
    <row r="142">
      <c r="A142">
        <v>375</v>
      </c>
      <c r="B142">
        <v>647</v>
      </c>
      <c r="C142" t="str">
        <v>Large</v>
      </c>
      <c r="D142" t="str">
        <v>Collins Road</v>
      </c>
      <c r="E142" t="str">
        <v>Stage 7</v>
      </c>
      <c r="F142" t="str">
        <v>Available</v>
      </c>
      <c r="G142" t="str">
        <v>Public</v>
      </c>
      <c r="I142" t="str">
        <v>Y</v>
      </c>
      <c r="N142" t="str">
        <v>Y</v>
      </c>
      <c r="Q142" t="str">
        <v>Stage corrected Stage 6 → Stage 7; Area corrected 745 → 647 m² (V6 polygon); Zone corrected "Central Upper" → "Collins Road"</v>
      </c>
    </row>
    <row r="143">
      <c r="A143">
        <v>376</v>
      </c>
      <c r="B143">
        <v>647</v>
      </c>
      <c r="C143" t="str">
        <v>Large</v>
      </c>
      <c r="D143" t="str">
        <v>Collins Road</v>
      </c>
      <c r="E143" t="str">
        <v>Stage 7</v>
      </c>
      <c r="F143" t="str">
        <v>Available</v>
      </c>
      <c r="G143" t="str">
        <v>Public</v>
      </c>
      <c r="I143" t="str">
        <v>Y</v>
      </c>
      <c r="N143" t="str">
        <v>Y</v>
      </c>
      <c r="Q143" t="str">
        <v>Stage corrected Stage 6 → Stage 7; Area corrected 595 → 647 m² (V6 polygon); Zone corrected "Central Upper" → "Collins Road"</v>
      </c>
    </row>
    <row r="144">
      <c r="A144">
        <v>377</v>
      </c>
      <c r="B144">
        <v>647</v>
      </c>
      <c r="C144" t="str">
        <v>Large</v>
      </c>
      <c r="D144" t="str">
        <v>Collins Road</v>
      </c>
      <c r="E144" t="str">
        <v>Stage 7</v>
      </c>
      <c r="F144" t="str">
        <v>Available</v>
      </c>
      <c r="G144" t="str">
        <v>Public</v>
      </c>
      <c r="I144" t="str">
        <v>Y</v>
      </c>
      <c r="N144" t="str">
        <v>Y</v>
      </c>
      <c r="Q144" t="str">
        <v>Stage corrected Stage 6 → Stage 7; Area corrected 625 → 647 m² (V6 polygon); Zone corrected "Central Upper" → "Collins Road"</v>
      </c>
    </row>
    <row r="145">
      <c r="A145">
        <v>378</v>
      </c>
      <c r="B145">
        <v>685</v>
      </c>
      <c r="C145" t="str">
        <v>Large</v>
      </c>
      <c r="D145" t="str">
        <v>Collins Road</v>
      </c>
      <c r="E145" t="str">
        <v>Stage 7</v>
      </c>
      <c r="F145" t="str">
        <v>Available</v>
      </c>
      <c r="G145" t="str">
        <v>Public</v>
      </c>
      <c r="I145" t="str">
        <v>Y</v>
      </c>
      <c r="N145" t="str">
        <v>Y</v>
      </c>
      <c r="Q145" t="str">
        <v>Stage corrected Stage 6 → Stage 7; Area corrected 655 → 685 m² (V6 polygon); Zone corrected "Central Upper" → "Collins Road"</v>
      </c>
    </row>
    <row r="146">
      <c r="A146">
        <v>379</v>
      </c>
      <c r="B146">
        <v>818</v>
      </c>
      <c r="C146" t="str">
        <v>Heritage</v>
      </c>
      <c r="D146" t="str">
        <v>Collins Road — Heritage Lot</v>
      </c>
      <c r="E146" t="str">
        <v>Stage 7</v>
      </c>
      <c r="F146" t="str">
        <v>Withheld</v>
      </c>
      <c r="G146" t="str">
        <v>Heritage Retained</v>
      </c>
      <c r="I146" t="str">
        <v>N</v>
      </c>
      <c r="N146" t="str">
        <v>N</v>
      </c>
      <c r="Q146" t="str">
        <v>Stage corrected Stage 6 → Stage 7; Area corrected 685 → 818 m² (V6 polygon); Zone corrected "Central Upper" → "Collins Road"; Heritage reclassification per V6</v>
      </c>
    </row>
    <row r="147">
      <c r="A147">
        <v>380</v>
      </c>
      <c r="B147">
        <v>819</v>
      </c>
      <c r="C147" t="str">
        <v>Premium</v>
      </c>
      <c r="D147" t="str">
        <v>Collins Road</v>
      </c>
      <c r="E147" t="str">
        <v>Stage 7</v>
      </c>
      <c r="F147" t="str">
        <v>Available</v>
      </c>
      <c r="G147" t="str">
        <v>Public</v>
      </c>
      <c r="I147" t="str">
        <v>Y</v>
      </c>
      <c r="N147" t="str">
        <v>Y</v>
      </c>
      <c r="Q147" t="str">
        <v>Stage corrected Stage 6 → Stage 7; Area corrected 715 → 819 m² (V6 polygon); Zone corrected "Central Upper" → "Collins Road"</v>
      </c>
    </row>
  </sheetData>
  <ignoredErrors>
    <ignoredError numberStoredAsText="1" sqref="A1:Q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 rightToLeft="0"/>
  </sheetViews>
  <sheetData>
    <row r="1">
      <c r="A1" t="str">
        <v>STAGE PRICING LADDER — Uwe to set entry rate and per-stage escalation</v>
      </c>
      <c r="H1" t="str">
        <v>Stage 1 entry rate $/m²:</v>
      </c>
      <c r="I1">
        <v>250</v>
      </c>
    </row>
    <row r="2">
      <c r="A2" t="str">
        <v>Per-m² rates rise with each stage to create price-escalation FOMO. Land $ = Area × Rate.</v>
      </c>
      <c r="H2" t="str">
        <v>Step per stage $/m²:</v>
      </c>
      <c r="I2">
        <v>15</v>
      </c>
    </row>
    <row r="3">
      <c r="A3" t="str">
        <v>Stage</v>
      </c>
      <c r="B3" t="str">
        <v>Stage Label</v>
      </c>
      <c r="C3" t="str">
        <v>Land $/m² (retail)</v>
      </c>
      <c r="D3" t="str">
        <v>Escalation vs Stage 1</v>
      </c>
      <c r="E3" t="str">
        <v>Sample 600m² lot</v>
      </c>
      <c r="F3" t="str">
        <v>Notes</v>
      </c>
      <c r="H3" t="str">
        <v>↑ Uwe sets these two cells; the table below recalculates</v>
      </c>
    </row>
    <row r="4">
      <c r="A4" t="str">
        <v>Stage 1</v>
      </c>
      <c r="B4" t="str">
        <v>SW Block — Launch</v>
      </c>
      <c r="C4">
        <f>$I$1+$I$2*0</f>
        <v>250</v>
      </c>
      <c r="D4">
        <f>IFERROR(C4/$C$4-1,"")</f>
        <v>0</v>
      </c>
      <c r="E4">
        <f>C4*600</f>
        <v>150000</v>
      </c>
    </row>
    <row r="5">
      <c r="A5" t="str">
        <v>Stage 2</v>
      </c>
      <c r="B5" t="str">
        <v>Central Heritage</v>
      </c>
      <c r="C5">
        <f>$I$1+$I$2*1</f>
        <v>265</v>
      </c>
      <c r="D5">
        <f>IFERROR(C5/$C$4-1,"")</f>
        <v>0.06000000000000005</v>
      </c>
      <c r="E5">
        <f>C5*600</f>
        <v>159000</v>
      </c>
    </row>
    <row r="6">
      <c r="A6" t="str">
        <v>Stage 3</v>
      </c>
      <c r="B6" t="str">
        <v>Central</v>
      </c>
      <c r="C6">
        <f>$I$1+$I$2*2</f>
        <v>280</v>
      </c>
      <c r="D6">
        <f>IFERROR(C6/$C$4-1,"")</f>
        <v>0.1200000000000001</v>
      </c>
      <c r="E6">
        <f>C6*600</f>
        <v>168000</v>
      </c>
    </row>
    <row r="7">
      <c r="A7" t="str">
        <v>Stage 4</v>
      </c>
      <c r="B7" t="str">
        <v>East</v>
      </c>
      <c r="C7">
        <f>$I$1+$I$2*3</f>
        <v>295</v>
      </c>
      <c r="D7">
        <f>IFERROR(C7/$C$4-1,"")</f>
        <v>0.17999999999999994</v>
      </c>
      <c r="E7">
        <f>C7*600</f>
        <v>177000</v>
      </c>
    </row>
    <row r="8">
      <c r="A8" t="str">
        <v>Stage 5</v>
      </c>
      <c r="B8" t="str">
        <v>North</v>
      </c>
      <c r="C8">
        <f>$I$1+$I$2*4</f>
        <v>310</v>
      </c>
      <c r="D8">
        <f>IFERROR(C8/$C$4-1,"")</f>
        <v>0.24</v>
      </c>
      <c r="E8">
        <f>C8*600</f>
        <v>186000</v>
      </c>
    </row>
    <row r="9">
      <c r="A9" t="str">
        <v>Stage 6</v>
      </c>
      <c r="B9" t="str">
        <v>Central Upper</v>
      </c>
      <c r="C9">
        <f>$I$1+$I$2*5</f>
        <v>325</v>
      </c>
      <c r="D9">
        <f>IFERROR(C9/$C$4-1,"")</f>
        <v>0.30000000000000004</v>
      </c>
      <c r="E9">
        <f>C9*600</f>
        <v>195000</v>
      </c>
    </row>
    <row r="10">
      <c r="A10" t="str">
        <v>Stage 7</v>
      </c>
      <c r="B10" t="str">
        <v>NW Premium</v>
      </c>
      <c r="C10">
        <f>$I$1+$I$2*6</f>
        <v>340</v>
      </c>
      <c r="D10">
        <f>IFERROR(C10/$C$4-1,"")</f>
        <v>0.3600000000000001</v>
      </c>
      <c r="E10">
        <f>C10*600</f>
        <v>204000</v>
      </c>
    </row>
    <row r="13">
      <c r="A13" t="str">
        <v>PRICING DECISIONS UWE NEEDS TO MAKE</v>
      </c>
    </row>
    <row r="15">
      <c r="A15" t="str">
        <v>1. Stage 1 entry rate ($/m²) — set in cell I1. Sanity check against current Geraldton comparables.</v>
      </c>
    </row>
    <row r="16">
      <c r="A16" t="str">
        <v>2. Step per stage ($/m²) — set in cell I2. e.g. $15/m² creates a $9,000 step on a 600m² lot.</v>
      </c>
    </row>
    <row r="17">
      <c r="A17" t="str">
        <v>3. Decide whether to override individual stage rates manually (column C can be hardcoded if not uniform).</v>
      </c>
    </row>
    <row r="18">
      <c r="A18" t="str">
        <v>4. Decide if existing piecewise model (floor $120K ≤450m², +$90/m² 450–600, +$50/m² 600–800, +$25/m² &gt;800)</v>
      </c>
    </row>
    <row r="19">
      <c r="A19" t="str">
        <v xml:space="preserve">   still applies WITHIN each stage, or whether stage rate fully replaces it.</v>
      </c>
    </row>
    <row r="20">
      <c r="A20" t="str">
        <v>5. Institutional allocations (GROH/Baurimus/Takken) — set per-lot override in Lot_Allocation_Master col J.</v>
      </c>
    </row>
  </sheetData>
  <mergeCells count="10">
    <mergeCell ref="A16:F16"/>
    <mergeCell ref="A17:F17"/>
    <mergeCell ref="A18:F18"/>
    <mergeCell ref="A19:F19"/>
    <mergeCell ref="A20:F20"/>
    <mergeCell ref="A1:F1"/>
    <mergeCell ref="A2:F2"/>
    <mergeCell ref="A13:F13"/>
    <mergeCell ref="A14:F14"/>
    <mergeCell ref="A15:F15"/>
  </mergeCells>
  <pageMargins left="0.75" right="0.75" top="1" bottom="1" header="0.511811023622047" footer="0.511811023622047"/>
  <ignoredErrors>
    <ignoredError numberStoredAsText="1" sqref="A1:I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OFFTAKER SUMMARY — auto-updates from Lot_Allocation_Master</v>
      </c>
    </row>
    <row r="2">
      <c r="A2" t="str">
        <v>A live count of allocations as Uwe fills in the Master sheet. Shows who has what at a glance.</v>
      </c>
    </row>
    <row r="3">
      <c r="A3" t="str">
        <v>Allocated To</v>
      </c>
      <c r="B3" t="str">
        <v>Target</v>
      </c>
      <c r="C3" t="str">
        <v>Allocated</v>
      </c>
      <c r="D3" t="str">
        <v>Outstanding</v>
      </c>
      <c r="E3" t="str">
        <v>Total Land $</v>
      </c>
      <c r="F3" t="str">
        <v>Total H&amp;L $</v>
      </c>
    </row>
    <row r="4">
      <c r="A4" t="str">
        <v>GROH</v>
      </c>
      <c r="B4">
        <v>14</v>
      </c>
      <c r="C4">
        <f>COUNTIF(Lot_Allocation_Master!$G$3:$G$144,A4)</f>
        <v>0</v>
      </c>
      <c r="D4">
        <f>B4-C4</f>
        <v>14</v>
      </c>
      <c r="E4">
        <f>SUMIF(Lot_Allocation_Master!$G$3:$G$144,A4,Lot_Allocation_Master!$K$3:$K$144)</f>
        <v>0</v>
      </c>
      <c r="F4">
        <f>SUMIF(Lot_Allocation_Master!$G$3:$G$144,A4,Lot_Allocation_Master!$M$3:$M$144)</f>
        <v>0</v>
      </c>
    </row>
    <row r="5">
      <c r="A5" t="str">
        <v>Baurimus</v>
      </c>
      <c r="B5">
        <v>5</v>
      </c>
      <c r="C5">
        <f>COUNTIF(Lot_Allocation_Master!$G$3:$G$144,A5)</f>
        <v>0</v>
      </c>
      <c r="D5">
        <f>B5-C5</f>
        <v>5</v>
      </c>
      <c r="E5">
        <f>SUMIF(Lot_Allocation_Master!$G$3:$G$144,A5,Lot_Allocation_Master!$K$3:$K$144)</f>
        <v>0</v>
      </c>
      <c r="F5">
        <f>SUMIF(Lot_Allocation_Master!$G$3:$G$144,A5,Lot_Allocation_Master!$M$3:$M$144)</f>
        <v>0</v>
      </c>
    </row>
    <row r="6">
      <c r="A6" t="str">
        <v>Takken</v>
      </c>
      <c r="B6">
        <v>10</v>
      </c>
      <c r="C6">
        <f>COUNTIF(Lot_Allocation_Master!$G$3:$G$144,A6)</f>
        <v>0</v>
      </c>
      <c r="D6">
        <f>B6-C6</f>
        <v>10</v>
      </c>
      <c r="E6">
        <f>SUMIF(Lot_Allocation_Master!$G$3:$G$144,A6,Lot_Allocation_Master!$K$3:$K$144)</f>
        <v>0</v>
      </c>
      <c r="F6">
        <f>SUMIF(Lot_Allocation_Master!$G$3:$G$144,A6,Lot_Allocation_Master!$M$3:$M$144)</f>
        <v>0</v>
      </c>
    </row>
    <row r="7">
      <c r="A7" t="str">
        <v>WACHS</v>
      </c>
      <c r="B7">
        <v>0</v>
      </c>
      <c r="C7">
        <f>COUNTIF(Lot_Allocation_Master!$G$3:$G$144,A7)</f>
        <v>0</v>
      </c>
      <c r="D7">
        <f>B7-C7</f>
        <v>0</v>
      </c>
      <c r="E7">
        <f>SUMIF(Lot_Allocation_Master!$G$3:$G$144,A7,Lot_Allocation_Master!$K$3:$K$144)</f>
        <v>0</v>
      </c>
      <c r="F7">
        <f>SUMIF(Lot_Allocation_Master!$G$3:$G$144,A7,Lot_Allocation_Master!$M$3:$M$144)</f>
        <v>0</v>
      </c>
    </row>
    <row r="8">
      <c r="A8" t="str">
        <v>Public</v>
      </c>
      <c r="B8">
        <v>0</v>
      </c>
      <c r="C8">
        <f>COUNTIF(Lot_Allocation_Master!$G$3:$G$144,A8)</f>
        <v>142</v>
      </c>
      <c r="D8">
        <f>B8-C8</f>
        <v>-142</v>
      </c>
      <c r="E8">
        <f>SUMIF(Lot_Allocation_Master!$G$3:$G$144,A8,Lot_Allocation_Master!$K$3:$K$144)</f>
        <v>28863955</v>
      </c>
      <c r="F8">
        <f>SUMIF(Lot_Allocation_Master!$G$3:$G$144,A8,Lot_Allocation_Master!$M$3:$M$144)</f>
        <v>28863955</v>
      </c>
    </row>
    <row r="9">
      <c r="A9" t="str">
        <v>F2K Withheld</v>
      </c>
      <c r="B9">
        <v>0</v>
      </c>
      <c r="C9">
        <f>COUNTIF(Lot_Allocation_Master!$G$3:$G$144,A9)</f>
        <v>0</v>
      </c>
      <c r="D9">
        <f>B9-C9</f>
        <v>0</v>
      </c>
      <c r="E9">
        <f>SUMIF(Lot_Allocation_Master!$G$3:$G$144,A9,Lot_Allocation_Master!$K$3:$K$144)</f>
        <v>0</v>
      </c>
      <c r="F9">
        <f>SUMIF(Lot_Allocation_Master!$G$3:$G$144,A9,Lot_Allocation_Master!$M$3:$M$144)</f>
        <v>0</v>
      </c>
    </row>
    <row r="10">
      <c r="A10" t="str">
        <v>Display Home</v>
      </c>
      <c r="B10">
        <v>0</v>
      </c>
      <c r="C10">
        <f>COUNTIF(Lot_Allocation_Master!$G$3:$G$144,A10)</f>
        <v>0</v>
      </c>
      <c r="D10">
        <f>B10-C10</f>
        <v>0</v>
      </c>
      <c r="E10">
        <f>SUMIF(Lot_Allocation_Master!$G$3:$G$144,A10,Lot_Allocation_Master!$K$3:$K$144)</f>
        <v>0</v>
      </c>
      <c r="F10">
        <f>SUMIF(Lot_Allocation_Master!$G$3:$G$144,A10,Lot_Allocation_Master!$M$3:$M$144)</f>
        <v>0</v>
      </c>
    </row>
    <row r="11">
      <c r="A11" t="str">
        <v>Heritage Retained</v>
      </c>
      <c r="B11">
        <v>0</v>
      </c>
      <c r="C11">
        <f>COUNTIF(Lot_Allocation_Master!$G$3:$G$144,A11)</f>
        <v>0</v>
      </c>
      <c r="D11">
        <f>B11-C11</f>
        <v>0</v>
      </c>
      <c r="E11">
        <f>SUMIF(Lot_Allocation_Master!$G$3:$G$144,A11,Lot_Allocation_Master!$K$3:$K$144)</f>
        <v>0</v>
      </c>
      <c r="F11">
        <f>SUMIF(Lot_Allocation_Master!$G$3:$G$144,A11,Lot_Allocation_Master!$M$3:$M$144)</f>
        <v>0</v>
      </c>
    </row>
    <row r="13">
      <c r="A13" t="str">
        <v>TOTAL</v>
      </c>
      <c r="B13">
        <f>SUM(B4:B12)</f>
        <v>29</v>
      </c>
      <c r="C13">
        <f>SUM(C4:C12)</f>
        <v>142</v>
      </c>
      <c r="D13">
        <f>SUM(D4:D12)</f>
        <v>-113</v>
      </c>
      <c r="E13">
        <f>SUM(E4:E12)</f>
        <v>28863955</v>
      </c>
      <c r="F13">
        <f>SUM(F4:F12)</f>
        <v>28863955</v>
      </c>
    </row>
    <row r="15">
      <c r="A15" t="str">
        <v>CRITICAL QUESTIONS — confirm with Uwe before launch</v>
      </c>
    </row>
    <row r="17">
      <c r="A17" t="str">
        <v>• GROH: target 14 lots. Confirmed by WACHS/GROH? Which specific lots?</v>
      </c>
    </row>
    <row r="18">
      <c r="A18" t="str">
        <v>• Baurimus: target 5 lots TBC. Confirmed by Michael Baurimus? Which specific lots?</v>
      </c>
    </row>
    <row r="19">
      <c r="A19" t="str">
        <v>• Takken: target 10 lots. AGREED under Cooperation Agreement, or still Barry pre-commit?</v>
      </c>
    </row>
    <row r="20">
      <c r="A20" t="str">
        <v>• WACHS: separate from GROH or same allocation? Target count?</v>
      </c>
    </row>
    <row r="21">
      <c r="A21" t="str">
        <v>• Display home lot — Lot 91 Brownlie referenced in Drive. Inside or outside this development?</v>
      </c>
    </row>
    <row r="22">
      <c r="A22" t="str">
        <v>• Heritage Lot 323 — retained for what use? Display? Sale at Premium pricing?</v>
      </c>
    </row>
  </sheetData>
  <mergeCells count="10">
    <mergeCell ref="A18:F18"/>
    <mergeCell ref="A19:F19"/>
    <mergeCell ref="A20:F20"/>
    <mergeCell ref="A21:F21"/>
    <mergeCell ref="A22:F22"/>
    <mergeCell ref="A1:F1"/>
    <mergeCell ref="A2:F2"/>
    <mergeCell ref="A15:F15"/>
    <mergeCell ref="A16:F16"/>
    <mergeCell ref="A17:F17"/>
  </mergeCells>
  <pageMargins left="0.75" right="0.75" top="1" bottom="1" header="0.511811023622047" footer="0.511811023622047"/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DWELLING TYPES — house plans available for H&amp;L packages</v>
      </c>
    </row>
    <row r="2">
      <c r="A2" t="str">
        <v>Uwe / Tanveer to populate with the house plans on offer. Master sheet references the "Code" column.</v>
      </c>
    </row>
    <row r="3">
      <c r="A3" t="str">
        <v>Code</v>
      </c>
      <c r="B3" t="str">
        <v>Plan Name</v>
      </c>
      <c r="C3" t="str">
        <v>Bedrooms</v>
      </c>
      <c r="D3" t="str">
        <v>Bathrooms</v>
      </c>
      <c r="E3" t="str">
        <v>Floor Area (m²)</v>
      </c>
      <c r="F3" t="str">
        <v>Build Cost $</v>
      </c>
      <c r="G3" t="str">
        <v>Notes / Use Case</v>
      </c>
    </row>
    <row r="4">
      <c r="A4" t="str">
        <v>GROH-3B</v>
      </c>
      <c r="B4" t="str">
        <v>GROH 3-bedroom standard</v>
      </c>
      <c r="C4">
        <v>3</v>
      </c>
      <c r="D4">
        <v>2</v>
      </c>
      <c r="E4">
        <v>142</v>
      </c>
      <c r="F4">
        <v>380000</v>
      </c>
      <c r="G4" t="str">
        <v>Standard GROH allocation</v>
      </c>
    </row>
    <row r="5">
      <c r="A5" t="str">
        <v>GROH-4B</v>
      </c>
      <c r="B5" t="str">
        <v>GROH 4-bedroom family</v>
      </c>
      <c r="C5">
        <v>4</v>
      </c>
      <c r="D5">
        <v>2</v>
      </c>
      <c r="E5">
        <v>168</v>
      </c>
      <c r="F5">
        <v>425000</v>
      </c>
      <c r="G5" t="str">
        <v>Family GROH allocation</v>
      </c>
    </row>
    <row r="6">
      <c r="A6" t="str">
        <v>BAU-3B</v>
      </c>
      <c r="B6" t="str">
        <v>Baurimus 3-bed</v>
      </c>
      <c r="C6">
        <v>3</v>
      </c>
      <c r="D6">
        <v>2</v>
      </c>
      <c r="E6">
        <v>140</v>
      </c>
      <c r="F6">
        <v>0</v>
      </c>
      <c r="G6" t="str">
        <v>Baurimus build — cost TBC</v>
      </c>
    </row>
    <row r="7">
      <c r="A7" t="str">
        <v>DISP-4B</v>
      </c>
      <c r="B7" t="str">
        <v>Display home — 4-bed Hero</v>
      </c>
      <c r="C7">
        <v>4</v>
      </c>
      <c r="D7">
        <v>2</v>
      </c>
      <c r="E7">
        <v>185</v>
      </c>
      <c r="F7">
        <v>480000</v>
      </c>
      <c r="G7" t="str">
        <v>Display, hero marketing piece</v>
      </c>
    </row>
    <row r="8">
      <c r="A8" t="str">
        <v>PUB-3B</v>
      </c>
      <c r="B8" t="str">
        <v>Public H&amp;L — 3-bed</v>
      </c>
      <c r="C8">
        <v>3</v>
      </c>
      <c r="D8">
        <v>2</v>
      </c>
      <c r="E8">
        <v>140</v>
      </c>
      <c r="F8">
        <v>365000</v>
      </c>
      <c r="G8" t="str">
        <v>Open market H&amp;L offering</v>
      </c>
    </row>
    <row r="9">
      <c r="A9" t="str">
        <v>PUB-4B</v>
      </c>
      <c r="B9" t="str">
        <v>Public H&amp;L — 4-bed</v>
      </c>
      <c r="C9">
        <v>4</v>
      </c>
      <c r="D9">
        <v>2</v>
      </c>
      <c r="E9">
        <v>170</v>
      </c>
      <c r="F9">
        <v>420000</v>
      </c>
      <c r="G9" t="str">
        <v>Open market H&amp;L offering</v>
      </c>
    </row>
  </sheetData>
  <mergeCells count="2">
    <mergeCell ref="A1:G1"/>
    <mergeCell ref="A2:G2"/>
  </mergeCells>
  <pageMargins left="0.75" right="0.75" top="1" bottom="1" header="0.511811023622047" footer="0.511811023622047"/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3"/>
  <sheetViews>
    <sheetView workbookViewId="0" rightToLeft="0"/>
  </sheetViews>
  <sheetData>
    <row r="1">
      <c r="A1" t="str">
        <v>AUDIT LOG — record every change to the Master sheet</v>
      </c>
    </row>
    <row r="2">
      <c r="A2" t="str">
        <v>Tanveer: log each change you make so Dennis and Uwe can trace allocations.</v>
      </c>
    </row>
    <row r="3">
      <c r="A3" t="str">
        <v>Date / Time</v>
      </c>
      <c r="B3" t="str">
        <v>Lot #</v>
      </c>
      <c r="C3" t="str">
        <v>Field Changed</v>
      </c>
      <c r="D3" t="str">
        <v>Old Value</v>
      </c>
      <c r="E3" t="str">
        <v>New Value</v>
      </c>
      <c r="F3" t="str">
        <v>Reason</v>
      </c>
      <c r="G3" t="str">
        <v>Changed By</v>
      </c>
    </row>
  </sheetData>
  <mergeCells count="2">
    <mergeCell ref="A1:F1"/>
    <mergeCell ref="A2:F2"/>
  </mergeCells>
  <pageMargins left="0.75" right="0.75" top="1" bottom="1" header="0.511811023622047" footer="0.511811023622047"/>
  <ignoredErrors>
    <ignoredError numberStoredAsText="1" sqref="A1:G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5"/>
  <sheetViews>
    <sheetView workbookViewId="0" rightToLeft="0"/>
  </sheetViews>
  <sheetData>
    <row r="1">
      <c r="A1" t="str">
        <v>DA RECONCILIATION LOG — V1 → V2 against CLE Plan 3027-08B-01 (WAPC 202888) V6</v>
      </c>
    </row>
    <row r="2">
      <c r="A2" t="str">
        <v>Generated 2026-05-15 from src/data/seafields/lots.ts.</v>
      </c>
    </row>
    <row r="4">
      <c r="A4" t="str">
        <v>Lot #</v>
      </c>
      <c r="B4" t="str">
        <v>Action</v>
      </c>
      <c r="C4" t="str">
        <v>V6 Stage</v>
      </c>
      <c r="D4" t="str">
        <v>V6 Area</v>
      </c>
      <c r="E4" t="str">
        <v>V6 Zone</v>
      </c>
      <c r="F4" t="str">
        <v>Reconciliation Notes</v>
      </c>
    </row>
    <row r="5">
      <c r="A5">
        <v>332</v>
      </c>
      <c r="B5" t="str">
        <v>kept</v>
      </c>
      <c r="C5" t="str">
        <v>1</v>
      </c>
      <c r="D5">
        <v>690</v>
      </c>
      <c r="E5" t="str">
        <v>Pepper Gate West / SW Block</v>
      </c>
      <c r="F5" t="str">
        <v>Geometry amended in 08B WAPC202888 overlay</v>
      </c>
    </row>
    <row r="6">
      <c r="A6">
        <v>333</v>
      </c>
      <c r="B6" t="str">
        <v>kept</v>
      </c>
      <c r="C6" t="str">
        <v>1</v>
      </c>
      <c r="D6">
        <v>537</v>
      </c>
      <c r="E6" t="str">
        <v>Pepper Gate West / SW Block</v>
      </c>
      <c r="F6" t="str">
        <v>Area corrected 680 → 537 m² (V6 polygon); Geometry amended in 08B WAPC202888 overlay</v>
      </c>
    </row>
    <row r="7">
      <c r="A7">
        <v>334</v>
      </c>
      <c r="B7" t="str">
        <v>kept</v>
      </c>
      <c r="C7" t="str">
        <v>1</v>
      </c>
      <c r="D7">
        <v>613</v>
      </c>
      <c r="E7" t="str">
        <v>Pepper Gate West / SW Block</v>
      </c>
      <c r="F7" t="str">
        <v>Area corrected 670 → 613 m² (V6 polygon)</v>
      </c>
    </row>
    <row r="8">
      <c r="A8">
        <v>335</v>
      </c>
      <c r="B8" t="str">
        <v>kept</v>
      </c>
      <c r="C8" t="str">
        <v>1</v>
      </c>
      <c r="D8">
        <v>596</v>
      </c>
      <c r="E8" t="str">
        <v>Pepper Gate West / SW Block</v>
      </c>
      <c r="F8" t="str">
        <v>Area corrected 660 → 596 m² (V6 polygon)</v>
      </c>
    </row>
    <row r="9">
      <c r="A9">
        <v>336</v>
      </c>
      <c r="B9" t="str">
        <v>kept</v>
      </c>
      <c r="C9" t="str">
        <v>1</v>
      </c>
      <c r="D9">
        <v>643</v>
      </c>
      <c r="E9" t="str">
        <v>Pepper Gate West / SW Block</v>
      </c>
      <c r="F9" t="str">
        <v>Area corrected 650 → 643 m² (V6 polygon)</v>
      </c>
    </row>
    <row r="10">
      <c r="A10">
        <v>337</v>
      </c>
      <c r="B10" t="str">
        <v>kept</v>
      </c>
      <c r="C10" t="str">
        <v>1</v>
      </c>
      <c r="D10">
        <v>570</v>
      </c>
      <c r="E10" t="str">
        <v>Pepper Gate West / SW Block</v>
      </c>
      <c r="F10" t="str">
        <v>Area corrected 640 → 570 m² (V6 polygon)</v>
      </c>
    </row>
    <row r="11">
      <c r="A11">
        <v>338</v>
      </c>
      <c r="B11" t="str">
        <v>kept</v>
      </c>
      <c r="C11" t="str">
        <v>1</v>
      </c>
      <c r="D11">
        <v>570</v>
      </c>
      <c r="E11" t="str">
        <v>Pepper Gate West / SW Block</v>
      </c>
      <c r="F11" t="str">
        <v>Area corrected 630 → 570 m² (V6 polygon)</v>
      </c>
    </row>
    <row r="12">
      <c r="A12">
        <v>339</v>
      </c>
      <c r="B12" t="str">
        <v>kept</v>
      </c>
      <c r="C12" t="str">
        <v>1</v>
      </c>
      <c r="D12">
        <v>570</v>
      </c>
      <c r="E12" t="str">
        <v>Pepper Gate West / SW Block</v>
      </c>
      <c r="F12" t="str">
        <v>Area corrected 620 → 570 m² (V6 polygon)</v>
      </c>
    </row>
    <row r="13">
      <c r="A13">
        <v>340</v>
      </c>
      <c r="B13" t="str">
        <v>kept</v>
      </c>
      <c r="C13" t="str">
        <v>1</v>
      </c>
      <c r="D13">
        <v>570</v>
      </c>
      <c r="E13" t="str">
        <v>Pepper Gate West / SW Block</v>
      </c>
      <c r="F13" t="str">
        <v>Area corrected 610 → 570 m² (V6 polygon)</v>
      </c>
    </row>
    <row r="14">
      <c r="A14">
        <v>341</v>
      </c>
      <c r="B14" t="str">
        <v>kept</v>
      </c>
      <c r="C14" t="str">
        <v>1</v>
      </c>
      <c r="D14">
        <v>646</v>
      </c>
      <c r="E14" t="str">
        <v>Pepper Gate West / SW Block</v>
      </c>
      <c r="F14" t="str">
        <v>Area corrected 600 → 646 m² (V6 polygon)</v>
      </c>
    </row>
    <row r="15">
      <c r="A15">
        <v>342</v>
      </c>
      <c r="B15" t="str">
        <v>kept</v>
      </c>
      <c r="C15" t="str">
        <v>1</v>
      </c>
      <c r="D15">
        <v>646</v>
      </c>
      <c r="E15" t="str">
        <v>Pepper Gate West / SW Block</v>
      </c>
      <c r="F15" t="str">
        <v>Area corrected 590 → 646 m² (V6 polygon)</v>
      </c>
    </row>
    <row r="16">
      <c r="A16">
        <v>343</v>
      </c>
      <c r="B16" t="str">
        <v>kept</v>
      </c>
      <c r="C16" t="str">
        <v>1</v>
      </c>
      <c r="D16">
        <v>666</v>
      </c>
      <c r="E16" t="str">
        <v>Pepper Gate West / SW Block</v>
      </c>
      <c r="F16" t="str">
        <v>Area corrected 580 → 666 m² (V6 polygon)</v>
      </c>
    </row>
    <row r="17">
      <c r="A17">
        <v>344</v>
      </c>
      <c r="B17" t="str">
        <v>kept</v>
      </c>
      <c r="C17" t="str">
        <v>1</v>
      </c>
      <c r="D17">
        <v>666</v>
      </c>
      <c r="E17" t="str">
        <v>Pepper Gate West / SW Block</v>
      </c>
      <c r="F17" t="str">
        <v>Area corrected 570 → 666 m² (V6 polygon)</v>
      </c>
    </row>
    <row r="18">
      <c r="A18">
        <v>345</v>
      </c>
      <c r="B18" t="str">
        <v>kept</v>
      </c>
      <c r="C18" t="str">
        <v>1</v>
      </c>
      <c r="D18">
        <v>646</v>
      </c>
      <c r="E18" t="str">
        <v>Pepper Gate West / SW Block</v>
      </c>
      <c r="F18" t="str">
        <v>Area corrected 560 → 646 m² (V6 polygon)</v>
      </c>
    </row>
    <row r="19">
      <c r="A19">
        <v>346</v>
      </c>
      <c r="B19" t="str">
        <v>kept</v>
      </c>
      <c r="C19" t="str">
        <v>1</v>
      </c>
      <c r="D19">
        <v>646</v>
      </c>
      <c r="E19" t="str">
        <v>Pepper Gate West / SW Block</v>
      </c>
      <c r="F19" t="str">
        <v>Area corrected 550 → 646 m² (V6 polygon)</v>
      </c>
    </row>
    <row r="20">
      <c r="A20">
        <v>347</v>
      </c>
      <c r="B20" t="str">
        <v>kept</v>
      </c>
      <c r="C20" t="str">
        <v>1</v>
      </c>
      <c r="D20">
        <v>570</v>
      </c>
      <c r="E20" t="str">
        <v>Pepper Gate West / SW Block</v>
      </c>
      <c r="F20" t="str">
        <v>Area corrected 540 → 570 m² (V6 polygon)</v>
      </c>
    </row>
    <row r="21">
      <c r="A21">
        <v>348</v>
      </c>
      <c r="B21" t="str">
        <v>kept</v>
      </c>
      <c r="C21" t="str">
        <v>1</v>
      </c>
      <c r="D21">
        <v>570</v>
      </c>
      <c r="E21" t="str">
        <v>Pepper Gate West / SW Block</v>
      </c>
      <c r="F21" t="str">
        <v>Area corrected 530 → 570 m² (V6 polygon); Duplicate polygon (idSuffix=a); pending CLE renumber</v>
      </c>
    </row>
    <row r="22">
      <c r="A22">
        <v>348</v>
      </c>
      <c r="B22" t="str">
        <v>kept</v>
      </c>
      <c r="C22" t="str">
        <v>1</v>
      </c>
      <c r="D22">
        <v>570</v>
      </c>
      <c r="E22" t="str">
        <v>Pepper Gate West / SW Block</v>
      </c>
      <c r="F22" t="str">
        <v>Area corrected 530 → 570 m² (V6 polygon); Duplicate polygon (idSuffix=b); pending CLE renumber</v>
      </c>
    </row>
    <row r="23">
      <c r="A23">
        <v>350</v>
      </c>
      <c r="B23" t="str">
        <v>kept</v>
      </c>
      <c r="C23" t="str">
        <v>1</v>
      </c>
      <c r="D23">
        <v>570</v>
      </c>
      <c r="E23" t="str">
        <v>Pepper Gate West / SW Block</v>
      </c>
      <c r="F23" t="str">
        <v>Area corrected 510 → 570 m² (V6 polygon)</v>
      </c>
    </row>
    <row r="24">
      <c r="A24">
        <v>351</v>
      </c>
      <c r="B24" t="str">
        <v>kept</v>
      </c>
      <c r="C24" t="str">
        <v>1</v>
      </c>
      <c r="D24">
        <v>646</v>
      </c>
      <c r="E24" t="str">
        <v>Pepper Gate West / SW Block</v>
      </c>
      <c r="F24" t="str">
        <v>Area corrected 500 → 646 m² (V6 polygon)</v>
      </c>
    </row>
    <row r="25">
      <c r="A25">
        <v>323</v>
      </c>
      <c r="B25" t="str">
        <v>kept</v>
      </c>
      <c r="C25" t="str">
        <v>2</v>
      </c>
      <c r="D25">
        <v>1522</v>
      </c>
      <c r="E25" t="str">
        <v>Central</v>
      </c>
      <c r="F25" t="str">
        <v>Zone corrected "Central — Heritage Lot" → "Central"; Heritage reclassification per V6</v>
      </c>
    </row>
    <row r="26">
      <c r="A26">
        <v>308</v>
      </c>
      <c r="B26" t="str">
        <v>kept</v>
      </c>
      <c r="C26" t="str">
        <v>3</v>
      </c>
      <c r="D26">
        <v>685</v>
      </c>
      <c r="E26" t="str">
        <v>Central</v>
      </c>
      <c r="F26" t="str">
        <v>Stage corrected Stage 4 → Stage 3; Area corrected 700 → 685 m² (V6 polygon); Zone corrected "East" → "Central"; Geometry amended in 08B WAPC202888 overlay</v>
      </c>
    </row>
    <row r="27">
      <c r="A27">
        <v>309</v>
      </c>
      <c r="B27" t="str">
        <v>kept</v>
      </c>
      <c r="C27" t="str">
        <v>3</v>
      </c>
      <c r="D27">
        <v>614</v>
      </c>
      <c r="E27" t="str">
        <v>Central</v>
      </c>
      <c r="F27" t="str">
        <v>Stage corrected Stage 4 → Stage 3; Area corrected 740 → 614 m² (V6 polygon); Zone corrected "East" → "Central"; Geometry amended in 08B WAPC202888 overlay</v>
      </c>
    </row>
    <row r="28">
      <c r="A28">
        <v>310</v>
      </c>
      <c r="B28" t="str">
        <v>kept</v>
      </c>
      <c r="C28" t="str">
        <v>3</v>
      </c>
      <c r="D28">
        <v>510</v>
      </c>
      <c r="E28" t="str">
        <v>Central</v>
      </c>
      <c r="F28" t="str">
        <v>Stage corrected Stage 5 → Stage 3; Area corrected 600 → 510 m² (V6 polygon); Zone corrected "North" → "Central"; Geometry amended in 08B WAPC202888 overlay</v>
      </c>
    </row>
    <row r="29">
      <c r="A29">
        <v>311</v>
      </c>
      <c r="B29" t="str">
        <v>kept</v>
      </c>
      <c r="C29" t="str">
        <v>3</v>
      </c>
      <c r="D29">
        <v>505</v>
      </c>
      <c r="E29" t="str">
        <v>Central</v>
      </c>
      <c r="F29" t="str">
        <v>Stage corrected Stage 5 → Stage 3; Area corrected 650 → 505 m² (V6 polygon); Zone corrected "North" → "Central"</v>
      </c>
    </row>
    <row r="30">
      <c r="A30">
        <v>312</v>
      </c>
      <c r="B30" t="str">
        <v>kept</v>
      </c>
      <c r="C30" t="str">
        <v>3</v>
      </c>
      <c r="D30">
        <v>510</v>
      </c>
      <c r="E30" t="str">
        <v>Central</v>
      </c>
      <c r="F30" t="str">
        <v>Stage corrected Stage 5 → Stage 3; Area corrected 700 → 510 m² (V6 polygon); Zone corrected "North" → "Central"</v>
      </c>
    </row>
    <row r="31">
      <c r="A31">
        <v>313</v>
      </c>
      <c r="B31" t="str">
        <v>kept</v>
      </c>
      <c r="C31" t="str">
        <v>3</v>
      </c>
      <c r="D31">
        <v>525</v>
      </c>
      <c r="E31" t="str">
        <v>Central</v>
      </c>
      <c r="F31" t="str">
        <v>Stage corrected Stage 5 → Stage 3; Area corrected 750 → 525 m² (V6 polygon); Zone corrected "North" → "Central"; Geometry amended in 08B WAPC202888 overlay</v>
      </c>
    </row>
    <row r="32">
      <c r="A32">
        <v>314</v>
      </c>
      <c r="B32" t="str">
        <v>kept</v>
      </c>
      <c r="C32" t="str">
        <v>3</v>
      </c>
      <c r="D32">
        <v>614</v>
      </c>
      <c r="E32" t="str">
        <v>Central</v>
      </c>
      <c r="F32" t="str">
        <v>Stage corrected Stage 5 → Stage 3; Area corrected 600 → 614 m² (V6 polygon); Zone corrected "North" → "Central"</v>
      </c>
    </row>
    <row r="33">
      <c r="A33">
        <v>315</v>
      </c>
      <c r="B33" t="str">
        <v>kept</v>
      </c>
      <c r="C33" t="str">
        <v>3</v>
      </c>
      <c r="D33">
        <v>560</v>
      </c>
      <c r="E33" t="str">
        <v>Central</v>
      </c>
      <c r="F33" t="str">
        <v>Stage corrected Stage 5 → Stage 3; Area corrected 650 → 560 m² (V6 polygon); Zone corrected "North" → "Central"; Geometry amended in 08B WAPC202888 overlay</v>
      </c>
    </row>
    <row r="34">
      <c r="A34">
        <v>316</v>
      </c>
      <c r="B34" t="str">
        <v>kept</v>
      </c>
      <c r="C34" t="str">
        <v>3</v>
      </c>
      <c r="D34">
        <v>794</v>
      </c>
      <c r="E34" t="str">
        <v>Central</v>
      </c>
      <c r="F34" t="str">
        <v>Stage corrected Stage 5 → Stage 3; Area corrected 700 → 794 m² (V6 polygon); Zone corrected "North" → "Central"; Geometry amended in 08B WAPC202888 overlay</v>
      </c>
    </row>
    <row r="35">
      <c r="A35">
        <v>317</v>
      </c>
      <c r="B35" t="str">
        <v>kept</v>
      </c>
      <c r="C35" t="str">
        <v>3</v>
      </c>
      <c r="D35">
        <v>658</v>
      </c>
      <c r="E35" t="str">
        <v>Central</v>
      </c>
      <c r="F35" t="str">
        <v>Stage corrected Stage 5 → Stage 3; Area corrected 750 → 658 m² (V6 polygon); Zone corrected "North" → "Central"; Geometry amended in 08B WAPC202888 overlay</v>
      </c>
    </row>
    <row r="36">
      <c r="A36">
        <v>318</v>
      </c>
      <c r="B36" t="str">
        <v>kept</v>
      </c>
      <c r="C36" t="str">
        <v>3</v>
      </c>
      <c r="D36">
        <v>595</v>
      </c>
      <c r="E36" t="str">
        <v>Central</v>
      </c>
      <c r="F36" t="str">
        <v>Stage corrected Stage 5 → Stage 3; Area corrected 600 → 595 m² (V6 polygon); Zone corrected "North" → "Central"</v>
      </c>
    </row>
    <row r="37">
      <c r="A37">
        <v>319</v>
      </c>
      <c r="B37" t="str">
        <v>kept</v>
      </c>
      <c r="C37" t="str">
        <v>3</v>
      </c>
      <c r="D37">
        <v>595</v>
      </c>
      <c r="E37" t="str">
        <v>Central</v>
      </c>
      <c r="F37" t="str">
        <v>Stage corrected Stage 5 → Stage 3; Area corrected 650 → 595 m² (V6 polygon); Zone corrected "North" → "Central"</v>
      </c>
    </row>
    <row r="38">
      <c r="A38">
        <v>320</v>
      </c>
      <c r="B38" t="str">
        <v>kept</v>
      </c>
      <c r="C38" t="str">
        <v>3</v>
      </c>
      <c r="D38">
        <v>595</v>
      </c>
      <c r="E38" t="str">
        <v>Central</v>
      </c>
      <c r="F38" t="str">
        <v>Stage corrected Stage 5 → Stage 3; Area corrected 700 → 595 m² (V6 polygon); Zone corrected "North" → "Central"</v>
      </c>
    </row>
    <row r="39">
      <c r="A39">
        <v>321</v>
      </c>
      <c r="B39" t="str">
        <v>kept</v>
      </c>
      <c r="C39" t="str">
        <v>3</v>
      </c>
      <c r="D39">
        <v>595</v>
      </c>
      <c r="E39" t="str">
        <v>Central</v>
      </c>
      <c r="F39" t="str">
        <v>Stage corrected Stage 5 → Stage 3; Area corrected 750 → 595 m² (V6 polygon); Zone corrected "North" → "Central"</v>
      </c>
    </row>
    <row r="40">
      <c r="A40">
        <v>322</v>
      </c>
      <c r="B40" t="str">
        <v>kept</v>
      </c>
      <c r="C40" t="str">
        <v>3</v>
      </c>
      <c r="D40">
        <v>749</v>
      </c>
      <c r="E40" t="str">
        <v>Central</v>
      </c>
      <c r="F40" t="str">
        <v>Stage corrected Stage 5 → Stage 3; Area corrected 600 → 749 m² (V6 polygon); Zone corrected "North" → "Central"</v>
      </c>
    </row>
    <row r="41">
      <c r="A41">
        <v>324</v>
      </c>
      <c r="B41" t="str">
        <v>inserted</v>
      </c>
      <c r="C41" t="str">
        <v>3</v>
      </c>
      <c r="D41">
        <v>630</v>
      </c>
      <c r="E41" t="str">
        <v>Central</v>
      </c>
      <c r="F41" t="str">
        <v>Inserted per V6 (not in V1)</v>
      </c>
    </row>
    <row r="42">
      <c r="A42">
        <v>325</v>
      </c>
      <c r="B42" t="str">
        <v>inserted</v>
      </c>
      <c r="C42" t="str">
        <v>3</v>
      </c>
      <c r="D42">
        <v>682</v>
      </c>
      <c r="E42" t="str">
        <v>Central</v>
      </c>
      <c r="F42" t="str">
        <v>Inserted per V6 (not in V1)</v>
      </c>
    </row>
    <row r="43">
      <c r="A43">
        <v>326</v>
      </c>
      <c r="B43" t="str">
        <v>inserted</v>
      </c>
      <c r="C43" t="str">
        <v>3</v>
      </c>
      <c r="D43">
        <v>682</v>
      </c>
      <c r="E43" t="str">
        <v>Central</v>
      </c>
      <c r="F43" t="str">
        <v>Inserted per V6 (not in V1)</v>
      </c>
    </row>
    <row r="44">
      <c r="A44">
        <v>327</v>
      </c>
      <c r="B44" t="str">
        <v>inserted</v>
      </c>
      <c r="C44" t="str">
        <v>3</v>
      </c>
      <c r="D44">
        <v>772</v>
      </c>
      <c r="E44" t="str">
        <v>Central</v>
      </c>
      <c r="F44" t="str">
        <v>Inserted per V6 (not in V1); Geometry amended in 08B WAPC202888 overlay</v>
      </c>
    </row>
    <row r="45">
      <c r="A45">
        <v>328</v>
      </c>
      <c r="B45" t="str">
        <v>inserted</v>
      </c>
      <c r="C45" t="str">
        <v>3</v>
      </c>
      <c r="D45">
        <v>704</v>
      </c>
      <c r="E45" t="str">
        <v>Central</v>
      </c>
      <c r="F45" t="str">
        <v>Inserted per V6 (not in V1); Geometry amended in 08B WAPC202888 overlay</v>
      </c>
    </row>
    <row r="46">
      <c r="A46">
        <v>329</v>
      </c>
      <c r="B46" t="str">
        <v>inserted</v>
      </c>
      <c r="C46" t="str">
        <v>3</v>
      </c>
      <c r="D46">
        <v>804</v>
      </c>
      <c r="E46" t="str">
        <v>Central</v>
      </c>
      <c r="F46" t="str">
        <v>Inserted per V6 (not in V1); Geometry amended in 08B WAPC202888 overlay</v>
      </c>
    </row>
    <row r="47">
      <c r="A47">
        <v>330</v>
      </c>
      <c r="B47" t="str">
        <v>inserted</v>
      </c>
      <c r="C47" t="str">
        <v>3</v>
      </c>
      <c r="D47">
        <v>721</v>
      </c>
      <c r="E47" t="str">
        <v>Central</v>
      </c>
      <c r="F47" t="str">
        <v>Inserted per V6 (not in V1); Geometry amended in 08B WAPC202888 overlay</v>
      </c>
    </row>
    <row r="48">
      <c r="A48">
        <v>331</v>
      </c>
      <c r="B48" t="str">
        <v>inserted</v>
      </c>
      <c r="C48" t="str">
        <v>3</v>
      </c>
      <c r="D48">
        <v>748</v>
      </c>
      <c r="E48" t="str">
        <v>Central</v>
      </c>
      <c r="F48" t="str">
        <v>Inserted per V6 (not in V1); Geometry amended in 08B WAPC202888 overlay</v>
      </c>
    </row>
    <row r="49">
      <c r="A49">
        <v>261</v>
      </c>
      <c r="B49" t="str">
        <v>kept</v>
      </c>
      <c r="C49" t="str">
        <v>4</v>
      </c>
      <c r="D49">
        <v>536</v>
      </c>
      <c r="E49" t="str">
        <v>Pepper Gate</v>
      </c>
      <c r="F49" t="str">
        <v>Stage corrected Stage 3 → Stage 4; Area corrected 630 → 536 m² (V6 polygon); Zone corrected "Central" → "Pepper Gate"</v>
      </c>
    </row>
    <row r="50">
      <c r="A50">
        <v>262</v>
      </c>
      <c r="B50" t="str">
        <v>kept</v>
      </c>
      <c r="C50" t="str">
        <v>4</v>
      </c>
      <c r="D50">
        <v>517</v>
      </c>
      <c r="E50" t="str">
        <v>Pepper Gate</v>
      </c>
      <c r="F50" t="str">
        <v>Stage corrected Stage 3 → Stage 4; Area corrected 660 → 517 m² (V6 polygon); Zone corrected "Central" → "Pepper Gate"</v>
      </c>
    </row>
    <row r="51">
      <c r="A51">
        <v>263</v>
      </c>
      <c r="B51" t="str">
        <v>kept</v>
      </c>
      <c r="C51" t="str">
        <v>4</v>
      </c>
      <c r="D51">
        <v>589</v>
      </c>
      <c r="E51" t="str">
        <v>Pepper Gate</v>
      </c>
      <c r="F51" t="str">
        <v>Stage corrected Stage 3 → Stage 4; Area corrected 690 → 589 m² (V6 polygon); Zone corrected "Central" → "Pepper Gate"</v>
      </c>
    </row>
    <row r="52">
      <c r="A52">
        <v>264</v>
      </c>
      <c r="B52" t="str">
        <v>kept</v>
      </c>
      <c r="C52" t="str">
        <v>4</v>
      </c>
      <c r="D52">
        <v>523</v>
      </c>
      <c r="E52" t="str">
        <v>Pepper Gate</v>
      </c>
      <c r="F52" t="str">
        <v>Stage corrected Stage 3 → Stage 4; Area corrected 720 → 523 m² (V6 polygon); Zone corrected "Central" → "Pepper Gate"</v>
      </c>
    </row>
    <row r="53">
      <c r="A53">
        <v>265</v>
      </c>
      <c r="B53" t="str">
        <v>kept</v>
      </c>
      <c r="C53" t="str">
        <v>4</v>
      </c>
      <c r="D53">
        <v>527</v>
      </c>
      <c r="E53" t="str">
        <v>Pepper Gate</v>
      </c>
      <c r="F53" t="str">
        <v>Stage corrected Stage 3 → Stage 4; Area corrected 600 → 527 m² (V6 polygon); Zone corrected "Central" → "Pepper Gate"</v>
      </c>
    </row>
    <row r="54">
      <c r="A54">
        <v>266</v>
      </c>
      <c r="B54" t="str">
        <v>kept</v>
      </c>
      <c r="C54" t="str">
        <v>4</v>
      </c>
      <c r="D54">
        <v>606</v>
      </c>
      <c r="E54" t="str">
        <v>Pepper Gate</v>
      </c>
      <c r="F54" t="str">
        <v>Stage corrected Stage 3 → Stage 4; Area corrected 630 → 606 m² (V6 polygon); Zone corrected "Central" → "Pepper Gate"</v>
      </c>
    </row>
    <row r="55">
      <c r="A55">
        <v>267</v>
      </c>
      <c r="B55" t="str">
        <v>kept</v>
      </c>
      <c r="C55" t="str">
        <v>4</v>
      </c>
      <c r="D55">
        <v>598</v>
      </c>
      <c r="E55" t="str">
        <v>Pepper Gate</v>
      </c>
      <c r="F55" t="str">
        <v>Stage corrected Stage 3 → Stage 4; Area corrected 660 → 598 m² (V6 polygon); Zone corrected "Central" → "Pepper Gate"</v>
      </c>
    </row>
    <row r="56">
      <c r="A56">
        <v>268</v>
      </c>
      <c r="B56" t="str">
        <v>kept</v>
      </c>
      <c r="C56" t="str">
        <v>4</v>
      </c>
      <c r="D56">
        <v>685</v>
      </c>
      <c r="E56" t="str">
        <v>Pepper Gate</v>
      </c>
      <c r="F56" t="str">
        <v>Stage corrected Stage 3 → Stage 4; Area corrected 690 → 685 m² (V6 polygon); Zone corrected "Central" → "Pepper Gate"</v>
      </c>
    </row>
    <row r="57">
      <c r="A57">
        <v>269</v>
      </c>
      <c r="B57" t="str">
        <v>kept</v>
      </c>
      <c r="C57" t="str">
        <v>4</v>
      </c>
      <c r="D57">
        <v>619</v>
      </c>
      <c r="E57" t="str">
        <v>Pepper Gate</v>
      </c>
      <c r="F57" t="str">
        <v>Stage corrected Stage 3 → Stage 4; Area corrected 720 → 619 m² (V6 polygon); Zone corrected "Central" → "Pepper Gate"; Geometry amended in 08B WAPC202888 overlay</v>
      </c>
    </row>
    <row r="58">
      <c r="A58">
        <v>270</v>
      </c>
      <c r="B58" t="str">
        <v>kept</v>
      </c>
      <c r="C58" t="str">
        <v>4</v>
      </c>
      <c r="D58">
        <v>548</v>
      </c>
      <c r="E58" t="str">
        <v>Pepper Gate</v>
      </c>
      <c r="F58" t="str">
        <v>Stage corrected Stage 3 → Stage 4; Area corrected 600 → 548 m² (V6 polygon); Zone corrected "Central" → "Pepper Gate"; Geometry amended in 08B WAPC202888 overlay</v>
      </c>
    </row>
    <row r="59">
      <c r="A59">
        <v>271</v>
      </c>
      <c r="B59" t="str">
        <v>kept</v>
      </c>
      <c r="C59" t="str">
        <v>4</v>
      </c>
      <c r="D59">
        <v>629</v>
      </c>
      <c r="E59" t="str">
        <v>Pepper Gate</v>
      </c>
      <c r="F59" t="str">
        <v>Stage corrected Stage 3 → Stage 4; Area corrected 630 → 629 m² (V6 polygon); Zone corrected "Central" → "Pepper Gate"</v>
      </c>
    </row>
    <row r="60">
      <c r="A60">
        <v>272</v>
      </c>
      <c r="B60" t="str">
        <v>kept</v>
      </c>
      <c r="C60" t="str">
        <v>4</v>
      </c>
      <c r="D60">
        <v>600</v>
      </c>
      <c r="E60" t="str">
        <v>Pepper Gate</v>
      </c>
      <c r="F60" t="str">
        <v>Stage corrected Stage 3 → Stage 4; Area corrected 660 → 600 m² (V6 polygon); Zone corrected "Central" → "Pepper Gate"</v>
      </c>
    </row>
    <row r="61">
      <c r="A61">
        <v>236</v>
      </c>
      <c r="B61" t="str">
        <v>kept</v>
      </c>
      <c r="C61" t="str">
        <v>5</v>
      </c>
      <c r="D61">
        <v>554</v>
      </c>
      <c r="E61" t="str">
        <v>Sutcliffe Road</v>
      </c>
      <c r="F61" t="str">
        <v>Stage corrected Stage 1 → Stage 5; Area corrected 720 → 554 m² (V6 polygon)</v>
      </c>
    </row>
    <row r="62">
      <c r="A62">
        <v>237</v>
      </c>
      <c r="B62" t="str">
        <v>kept</v>
      </c>
      <c r="C62" t="str">
        <v>5</v>
      </c>
      <c r="D62">
        <v>525</v>
      </c>
      <c r="E62" t="str">
        <v>Sutcliffe Road</v>
      </c>
      <c r="F62" t="str">
        <v>Stage corrected Stage 1 → Stage 5; Area corrected 715 → 525 m² (V6 polygon)</v>
      </c>
    </row>
    <row r="63">
      <c r="A63">
        <v>238</v>
      </c>
      <c r="B63" t="str">
        <v>kept</v>
      </c>
      <c r="C63" t="str">
        <v>5</v>
      </c>
      <c r="D63">
        <v>815</v>
      </c>
      <c r="E63" t="str">
        <v>Sutcliffe Road</v>
      </c>
      <c r="F63" t="str">
        <v>Stage corrected Stage 1 → Stage 5; Area corrected 710 → 815 m² (V6 polygon)</v>
      </c>
    </row>
    <row r="64">
      <c r="A64">
        <v>239</v>
      </c>
      <c r="B64" t="str">
        <v>inserted</v>
      </c>
      <c r="C64" t="str">
        <v>5</v>
      </c>
      <c r="D64">
        <v>751</v>
      </c>
      <c r="E64" t="str">
        <v>Sutcliffe Road</v>
      </c>
      <c r="F64" t="str">
        <v>Inserted per V6 (not in V1)</v>
      </c>
    </row>
    <row r="65">
      <c r="A65">
        <v>240</v>
      </c>
      <c r="B65" t="str">
        <v>inserted</v>
      </c>
      <c r="C65" t="str">
        <v>5</v>
      </c>
      <c r="D65">
        <v>595</v>
      </c>
      <c r="E65" t="str">
        <v>Sutcliffe Road</v>
      </c>
      <c r="F65" t="str">
        <v>Inserted per V6 (not in V1)</v>
      </c>
    </row>
    <row r="66">
      <c r="A66">
        <v>241</v>
      </c>
      <c r="B66" t="str">
        <v>inserted</v>
      </c>
      <c r="C66" t="str">
        <v>5</v>
      </c>
      <c r="D66">
        <v>595</v>
      </c>
      <c r="E66" t="str">
        <v>Sutcliffe Road</v>
      </c>
      <c r="F66" t="str">
        <v>Inserted per V6 (not in V1)</v>
      </c>
    </row>
    <row r="67">
      <c r="A67">
        <v>242</v>
      </c>
      <c r="B67" t="str">
        <v>inserted</v>
      </c>
      <c r="C67" t="str">
        <v>5</v>
      </c>
      <c r="D67">
        <v>624</v>
      </c>
      <c r="E67" t="str">
        <v>Sutcliffe Road</v>
      </c>
      <c r="F67" t="str">
        <v>Inserted per V6 (not in V1)</v>
      </c>
    </row>
    <row r="68">
      <c r="A68">
        <v>243</v>
      </c>
      <c r="B68" t="str">
        <v>inserted</v>
      </c>
      <c r="C68" t="str">
        <v>5</v>
      </c>
      <c r="D68">
        <v>561</v>
      </c>
      <c r="E68" t="str">
        <v>Sutcliffe Road</v>
      </c>
      <c r="F68" t="str">
        <v>Inserted per V6 (not in V1)</v>
      </c>
    </row>
    <row r="69">
      <c r="A69">
        <v>244</v>
      </c>
      <c r="B69" t="str">
        <v>inserted</v>
      </c>
      <c r="C69" t="str">
        <v>5</v>
      </c>
      <c r="D69">
        <v>483</v>
      </c>
      <c r="E69" t="str">
        <v>Sutcliffe Road</v>
      </c>
      <c r="F69" t="str">
        <v>Inserted per V6 (not in V1)</v>
      </c>
    </row>
    <row r="70">
      <c r="A70">
        <v>245</v>
      </c>
      <c r="B70" t="str">
        <v>inserted</v>
      </c>
      <c r="C70" t="str">
        <v>5</v>
      </c>
      <c r="D70">
        <v>473</v>
      </c>
      <c r="E70" t="str">
        <v>Sutcliffe Road</v>
      </c>
      <c r="F70" t="str">
        <v>Inserted per V6 (not in V1)</v>
      </c>
    </row>
    <row r="71">
      <c r="A71">
        <v>246</v>
      </c>
      <c r="B71" t="str">
        <v>inserted</v>
      </c>
      <c r="C71" t="str">
        <v>5</v>
      </c>
      <c r="D71">
        <v>462</v>
      </c>
      <c r="E71" t="str">
        <v>Sutcliffe Road</v>
      </c>
      <c r="F71" t="str">
        <v>Inserted per V6 (not in V1)</v>
      </c>
    </row>
    <row r="72">
      <c r="A72">
        <v>247</v>
      </c>
      <c r="B72" t="str">
        <v>inserted</v>
      </c>
      <c r="C72" t="str">
        <v>5</v>
      </c>
      <c r="D72">
        <v>511</v>
      </c>
      <c r="E72" t="str">
        <v>Sutcliffe Road</v>
      </c>
      <c r="F72" t="str">
        <v>Inserted per V6 (not in V1)</v>
      </c>
    </row>
    <row r="73">
      <c r="A73">
        <v>248</v>
      </c>
      <c r="B73" t="str">
        <v>inserted</v>
      </c>
      <c r="C73" t="str">
        <v>5</v>
      </c>
      <c r="D73">
        <v>600</v>
      </c>
      <c r="E73" t="str">
        <v>Sutcliffe Road</v>
      </c>
      <c r="F73" t="str">
        <v>Inserted per V6 (not in V1)</v>
      </c>
    </row>
    <row r="74">
      <c r="A74">
        <v>249</v>
      </c>
      <c r="B74" t="str">
        <v>inserted</v>
      </c>
      <c r="C74" t="str">
        <v>5</v>
      </c>
      <c r="D74">
        <v>638</v>
      </c>
      <c r="E74" t="str">
        <v>Sutcliffe Road</v>
      </c>
      <c r="F74" t="str">
        <v>Inserted per V6 (not in V1)</v>
      </c>
    </row>
    <row r="75">
      <c r="A75">
        <v>250</v>
      </c>
      <c r="B75" t="str">
        <v>inserted</v>
      </c>
      <c r="C75" t="str">
        <v>5</v>
      </c>
      <c r="D75">
        <v>502</v>
      </c>
      <c r="E75" t="str">
        <v>Sutcliffe Road</v>
      </c>
      <c r="F75" t="str">
        <v>Inserted per V6 (not in V1)</v>
      </c>
    </row>
    <row r="76">
      <c r="A76">
        <v>251</v>
      </c>
      <c r="B76" t="str">
        <v>inserted</v>
      </c>
      <c r="C76" t="str">
        <v>5</v>
      </c>
      <c r="D76">
        <v>502</v>
      </c>
      <c r="E76" t="str">
        <v>Sutcliffe Road</v>
      </c>
      <c r="F76" t="str">
        <v>Inserted per V6 (not in V1)</v>
      </c>
    </row>
    <row r="77">
      <c r="A77">
        <v>252</v>
      </c>
      <c r="B77" t="str">
        <v>inserted</v>
      </c>
      <c r="C77" t="str">
        <v>5</v>
      </c>
      <c r="D77">
        <v>503</v>
      </c>
      <c r="E77" t="str">
        <v>Sutcliffe Road</v>
      </c>
      <c r="F77" t="str">
        <v>Inserted per V6 (not in V1)</v>
      </c>
    </row>
    <row r="78">
      <c r="A78">
        <v>253</v>
      </c>
      <c r="B78" t="str">
        <v>inserted</v>
      </c>
      <c r="C78" t="str">
        <v>5</v>
      </c>
      <c r="D78">
        <v>503</v>
      </c>
      <c r="E78" t="str">
        <v>Sutcliffe Road</v>
      </c>
      <c r="F78" t="str">
        <v>Inserted per V6 (not in V1)</v>
      </c>
    </row>
    <row r="79">
      <c r="A79">
        <v>254</v>
      </c>
      <c r="B79" t="str">
        <v>inserted</v>
      </c>
      <c r="C79" t="str">
        <v>5</v>
      </c>
      <c r="D79">
        <v>502</v>
      </c>
      <c r="E79" t="str">
        <v>Sutcliffe Road</v>
      </c>
      <c r="F79" t="str">
        <v>Inserted per V6 (not in V1)</v>
      </c>
    </row>
    <row r="80">
      <c r="A80">
        <v>255</v>
      </c>
      <c r="B80" t="str">
        <v>inserted</v>
      </c>
      <c r="C80" t="str">
        <v>5</v>
      </c>
      <c r="D80">
        <v>569</v>
      </c>
      <c r="E80" t="str">
        <v>Sutcliffe Road</v>
      </c>
      <c r="F80" t="str">
        <v>Inserted per V6 (not in V1)</v>
      </c>
    </row>
    <row r="81">
      <c r="A81">
        <v>256</v>
      </c>
      <c r="B81" t="str">
        <v>inserted</v>
      </c>
      <c r="C81" t="str">
        <v>5</v>
      </c>
      <c r="D81">
        <v>818</v>
      </c>
      <c r="E81" t="str">
        <v>Sutcliffe Road</v>
      </c>
      <c r="F81" t="str">
        <v>Inserted per V6 (not in V1)</v>
      </c>
    </row>
    <row r="82">
      <c r="A82">
        <v>257</v>
      </c>
      <c r="B82" t="str">
        <v>inserted</v>
      </c>
      <c r="C82" t="str">
        <v>5</v>
      </c>
      <c r="D82">
        <v>520</v>
      </c>
      <c r="E82" t="str">
        <v>Sutcliffe Road / NE Inner</v>
      </c>
      <c r="F82" t="str">
        <v>Inserted per V6 (not in V1)</v>
      </c>
    </row>
    <row r="83">
      <c r="A83">
        <v>258</v>
      </c>
      <c r="B83" t="str">
        <v>inserted</v>
      </c>
      <c r="C83" t="str">
        <v>5</v>
      </c>
      <c r="D83">
        <v>545</v>
      </c>
      <c r="E83" t="str">
        <v>Sutcliffe Road / NE Inner</v>
      </c>
      <c r="F83" t="str">
        <v>Inserted per V6 (not in V1)</v>
      </c>
    </row>
    <row r="84">
      <c r="A84">
        <v>259</v>
      </c>
      <c r="B84" t="str">
        <v>inserted</v>
      </c>
      <c r="C84" t="str">
        <v>5</v>
      </c>
      <c r="D84">
        <v>559</v>
      </c>
      <c r="E84" t="str">
        <v>Sutcliffe Road / NE Inner</v>
      </c>
      <c r="F84" t="str">
        <v>Inserted per V6 (not in V1)</v>
      </c>
    </row>
    <row r="85">
      <c r="A85">
        <v>260</v>
      </c>
      <c r="B85" t="str">
        <v>kept</v>
      </c>
      <c r="C85" t="str">
        <v>5</v>
      </c>
      <c r="D85">
        <v>524</v>
      </c>
      <c r="E85" t="str">
        <v>Sutcliffe Road / NE Inner</v>
      </c>
      <c r="F85" t="str">
        <v>Stage corrected Stage 3 → Stage 5; Area corrected 600 → 524 m² (V6 polygon); Zone corrected "Central" → "Sutcliffe Road / NE Inner"</v>
      </c>
    </row>
    <row r="86">
      <c r="A86">
        <v>273</v>
      </c>
      <c r="B86" t="str">
        <v>kept</v>
      </c>
      <c r="C86" t="str">
        <v>6</v>
      </c>
      <c r="D86">
        <v>595</v>
      </c>
      <c r="E86" t="str">
        <v>Central</v>
      </c>
      <c r="F86" t="str">
        <v>Stage corrected Stage 3 → Stage 6; Area corrected 690 → 595 m² (V6 polygon)</v>
      </c>
    </row>
    <row r="87">
      <c r="A87">
        <v>274</v>
      </c>
      <c r="B87" t="str">
        <v>kept</v>
      </c>
      <c r="C87" t="str">
        <v>6</v>
      </c>
      <c r="D87">
        <v>525</v>
      </c>
      <c r="E87" t="str">
        <v>Central</v>
      </c>
      <c r="F87" t="str">
        <v>Stage corrected Stage 3 → Stage 6; Area corrected 720 → 525 m² (V6 polygon)</v>
      </c>
    </row>
    <row r="88">
      <c r="A88">
        <v>275</v>
      </c>
      <c r="B88" t="str">
        <v>kept</v>
      </c>
      <c r="C88" t="str">
        <v>6</v>
      </c>
      <c r="D88">
        <v>525</v>
      </c>
      <c r="E88" t="str">
        <v>Central</v>
      </c>
      <c r="F88" t="str">
        <v>Stage corrected Stage 3 → Stage 6; Area corrected 600 → 525 m² (V6 polygon)</v>
      </c>
    </row>
    <row r="89">
      <c r="A89">
        <v>276</v>
      </c>
      <c r="B89" t="str">
        <v>kept</v>
      </c>
      <c r="C89" t="str">
        <v>6</v>
      </c>
      <c r="D89">
        <v>595</v>
      </c>
      <c r="E89" t="str">
        <v>Central</v>
      </c>
      <c r="F89" t="str">
        <v>Stage corrected Stage 3 → Stage 6; Area corrected 630 → 595 m² (V6 polygon)</v>
      </c>
    </row>
    <row r="90">
      <c r="A90">
        <v>277</v>
      </c>
      <c r="B90" t="str">
        <v>kept</v>
      </c>
      <c r="C90" t="str">
        <v>6</v>
      </c>
      <c r="D90">
        <v>595</v>
      </c>
      <c r="E90" t="str">
        <v>Central</v>
      </c>
      <c r="F90" t="str">
        <v>Stage corrected Stage 3 → Stage 6; Area corrected 660 → 595 m² (V6 polygon)</v>
      </c>
    </row>
    <row r="91">
      <c r="A91">
        <v>278</v>
      </c>
      <c r="B91" t="str">
        <v>kept</v>
      </c>
      <c r="C91" t="str">
        <v>6</v>
      </c>
      <c r="D91">
        <v>525</v>
      </c>
      <c r="E91" t="str">
        <v>Central</v>
      </c>
      <c r="F91" t="str">
        <v>Stage corrected Stage 3 → Stage 6; Area corrected 690 → 525 m² (V6 polygon)</v>
      </c>
    </row>
    <row r="92">
      <c r="A92">
        <v>279</v>
      </c>
      <c r="B92" t="str">
        <v>kept</v>
      </c>
      <c r="C92" t="str">
        <v>6</v>
      </c>
      <c r="D92">
        <v>525</v>
      </c>
      <c r="E92" t="str">
        <v>Central</v>
      </c>
      <c r="F92" t="str">
        <v>Stage corrected Stage 3 → Stage 6; Area corrected 720 → 525 m² (V6 polygon)</v>
      </c>
    </row>
    <row r="93">
      <c r="A93">
        <v>280</v>
      </c>
      <c r="B93" t="str">
        <v>kept</v>
      </c>
      <c r="C93" t="str">
        <v>6</v>
      </c>
      <c r="D93">
        <v>595</v>
      </c>
      <c r="E93" t="str">
        <v>Central</v>
      </c>
      <c r="F93" t="str">
        <v>Stage corrected Stage 3 → Stage 6; Area corrected 600 → 595 m² (V6 polygon)</v>
      </c>
    </row>
    <row r="94">
      <c r="A94">
        <v>281</v>
      </c>
      <c r="B94" t="str">
        <v>kept</v>
      </c>
      <c r="C94" t="str">
        <v>6</v>
      </c>
      <c r="D94">
        <v>595</v>
      </c>
      <c r="E94" t="str">
        <v>Central</v>
      </c>
      <c r="F94" t="str">
        <v>Stage corrected Stage 3 → Stage 6; Area corrected 630 → 595 m² (V6 polygon)</v>
      </c>
    </row>
    <row r="95">
      <c r="A95">
        <v>282</v>
      </c>
      <c r="B95" t="str">
        <v>kept</v>
      </c>
      <c r="C95" t="str">
        <v>6</v>
      </c>
      <c r="D95">
        <v>595</v>
      </c>
      <c r="E95" t="str">
        <v>Central</v>
      </c>
      <c r="F95" t="str">
        <v>Stage corrected Stage 3 → Stage 6; Area corrected 660 → 595 m² (V6 polygon)</v>
      </c>
    </row>
    <row r="96">
      <c r="A96">
        <v>283</v>
      </c>
      <c r="B96" t="str">
        <v>kept</v>
      </c>
      <c r="C96" t="str">
        <v>6</v>
      </c>
      <c r="D96">
        <v>598</v>
      </c>
      <c r="E96" t="str">
        <v>Central</v>
      </c>
      <c r="F96" t="str">
        <v>Stage corrected Stage 3 → Stage 6; Area corrected 690 → 598 m² (V6 polygon)</v>
      </c>
    </row>
    <row r="97">
      <c r="A97">
        <v>284</v>
      </c>
      <c r="B97" t="str">
        <v>kept</v>
      </c>
      <c r="C97" t="str">
        <v>6</v>
      </c>
      <c r="D97">
        <v>598</v>
      </c>
      <c r="E97" t="str">
        <v>Central</v>
      </c>
      <c r="F97" t="str">
        <v>Stage corrected Stage 3 → Stage 6; Area corrected 720 → 598 m² (V6 polygon)</v>
      </c>
    </row>
    <row r="98">
      <c r="A98">
        <v>285</v>
      </c>
      <c r="B98" t="str">
        <v>kept</v>
      </c>
      <c r="C98" t="str">
        <v>6</v>
      </c>
      <c r="D98">
        <v>595</v>
      </c>
      <c r="E98" t="str">
        <v>Central</v>
      </c>
      <c r="F98" t="str">
        <v>Stage corrected Stage 4 → Stage 6; Area corrected 580 → 595 m² (V6 polygon); Zone corrected "East" → "Central"</v>
      </c>
    </row>
    <row r="99">
      <c r="A99">
        <v>286</v>
      </c>
      <c r="B99" t="str">
        <v>kept</v>
      </c>
      <c r="C99" t="str">
        <v>6</v>
      </c>
      <c r="D99">
        <v>595</v>
      </c>
      <c r="E99" t="str">
        <v>Central</v>
      </c>
      <c r="F99" t="str">
        <v>Stage corrected Stage 4 → Stage 6; Area corrected 620 → 595 m² (V6 polygon); Zone corrected "East" → "Central"</v>
      </c>
    </row>
    <row r="100">
      <c r="A100">
        <v>287</v>
      </c>
      <c r="B100" t="str">
        <v>kept</v>
      </c>
      <c r="C100" t="str">
        <v>6</v>
      </c>
      <c r="D100">
        <v>595</v>
      </c>
      <c r="E100" t="str">
        <v>Central</v>
      </c>
      <c r="F100" t="str">
        <v>Stage corrected Stage 4 → Stage 6; Area corrected 660 → 595 m² (V6 polygon); Zone corrected "East" → "Central"</v>
      </c>
    </row>
    <row r="101">
      <c r="A101">
        <v>288</v>
      </c>
      <c r="B101" t="str">
        <v>kept</v>
      </c>
      <c r="C101" t="str">
        <v>6</v>
      </c>
      <c r="D101">
        <v>525</v>
      </c>
      <c r="E101" t="str">
        <v>Central</v>
      </c>
      <c r="F101" t="str">
        <v>Stage corrected Stage 4 → Stage 6; Area corrected 700 → 525 m² (V6 polygon); Zone corrected "East" → "Central"</v>
      </c>
    </row>
    <row r="102">
      <c r="A102">
        <v>289</v>
      </c>
      <c r="B102" t="str">
        <v>kept</v>
      </c>
      <c r="C102" t="str">
        <v>6</v>
      </c>
      <c r="D102">
        <v>525</v>
      </c>
      <c r="E102" t="str">
        <v>Central</v>
      </c>
      <c r="F102" t="str">
        <v>Stage corrected Stage 4 → Stage 6; Area corrected 740 → 525 m² (V6 polygon); Zone corrected "East" → "Central"</v>
      </c>
    </row>
    <row r="103">
      <c r="A103">
        <v>290</v>
      </c>
      <c r="B103" t="str">
        <v>kept</v>
      </c>
      <c r="C103" t="str">
        <v>6</v>
      </c>
      <c r="D103">
        <v>595</v>
      </c>
      <c r="E103" t="str">
        <v>Central</v>
      </c>
      <c r="F103" t="str">
        <v>Stage corrected Stage 4 → Stage 6; Area corrected 580 → 595 m² (V6 polygon); Zone corrected "East" → "Central"</v>
      </c>
    </row>
    <row r="104">
      <c r="A104">
        <v>291</v>
      </c>
      <c r="B104" t="str">
        <v>kept</v>
      </c>
      <c r="C104" t="str">
        <v>6</v>
      </c>
      <c r="D104">
        <v>595</v>
      </c>
      <c r="E104" t="str">
        <v>Central</v>
      </c>
      <c r="F104" t="str">
        <v>Stage corrected Stage 4 → Stage 6; Area corrected 620 → 595 m² (V6 polygon); Zone corrected "East" → "Central"</v>
      </c>
    </row>
    <row r="105">
      <c r="A105">
        <v>292</v>
      </c>
      <c r="B105" t="str">
        <v>kept</v>
      </c>
      <c r="C105" t="str">
        <v>6</v>
      </c>
      <c r="D105">
        <v>783</v>
      </c>
      <c r="E105" t="str">
        <v>Central</v>
      </c>
      <c r="F105" t="str">
        <v>Stage corrected Stage 4 → Stage 6; Area corrected 660 → 783 m² (V6 polygon); Zone corrected "East" → "Central"; Geometry amended in 08B WAPC202888 overlay</v>
      </c>
    </row>
    <row r="106">
      <c r="A106">
        <v>294</v>
      </c>
      <c r="B106" t="str">
        <v>kept</v>
      </c>
      <c r="C106" t="str">
        <v>6</v>
      </c>
      <c r="D106">
        <v>797</v>
      </c>
      <c r="E106" t="str">
        <v>Central</v>
      </c>
      <c r="F106" t="str">
        <v>Stage corrected Stage 4 → Stage 6; Area corrected 740 → 797 m² (V6 polygon); Zone corrected "East" → "Central"; Duplicate polygon (idSuffix=a); pending CLE renumber; Geometry amended in 08B WAPC202888 overlay</v>
      </c>
    </row>
    <row r="107">
      <c r="A107">
        <v>294</v>
      </c>
      <c r="B107" t="str">
        <v>kept</v>
      </c>
      <c r="C107" t="str">
        <v>6</v>
      </c>
      <c r="D107">
        <v>797</v>
      </c>
      <c r="E107" t="str">
        <v>Central</v>
      </c>
      <c r="F107" t="str">
        <v>Stage corrected Stage 4 → Stage 6; Area corrected 740 → 797 m² (V6 polygon); Zone corrected "East" → "Central"; Duplicate polygon (idSuffix=b); pending CLE renumber; Geometry amended in 08B WAPC202888 overlay</v>
      </c>
    </row>
    <row r="108">
      <c r="A108">
        <v>295</v>
      </c>
      <c r="B108" t="str">
        <v>kept</v>
      </c>
      <c r="C108" t="str">
        <v>6</v>
      </c>
      <c r="D108">
        <v>691</v>
      </c>
      <c r="E108" t="str">
        <v>Central</v>
      </c>
      <c r="F108" t="str">
        <v>Stage corrected Stage 4 → Stage 6; Area corrected 580 → 691 m² (V6 polygon); Zone corrected "East" → "Central"</v>
      </c>
    </row>
    <row r="109">
      <c r="A109">
        <v>296</v>
      </c>
      <c r="B109" t="str">
        <v>kept</v>
      </c>
      <c r="C109" t="str">
        <v>6</v>
      </c>
      <c r="D109">
        <v>680</v>
      </c>
      <c r="E109" t="str">
        <v>Central</v>
      </c>
      <c r="F109" t="str">
        <v>Stage corrected Stage 4 → Stage 6; Area corrected 620 → 680 m² (V6 polygon); Zone corrected "East" → "Central"</v>
      </c>
    </row>
    <row r="110">
      <c r="A110">
        <v>297</v>
      </c>
      <c r="B110" t="str">
        <v>kept</v>
      </c>
      <c r="C110" t="str">
        <v>6</v>
      </c>
      <c r="D110">
        <v>680</v>
      </c>
      <c r="E110" t="str">
        <v>Central</v>
      </c>
      <c r="F110" t="str">
        <v>Stage corrected Stage 4 → Stage 6; Area corrected 660 → 680 m² (V6 polygon); Zone corrected "East" → "Central"</v>
      </c>
    </row>
    <row r="111">
      <c r="A111">
        <v>298</v>
      </c>
      <c r="B111" t="str">
        <v>kept</v>
      </c>
      <c r="C111" t="str">
        <v>6</v>
      </c>
      <c r="D111">
        <v>680</v>
      </c>
      <c r="E111" t="str">
        <v>Central</v>
      </c>
      <c r="F111" t="str">
        <v>Stage corrected Stage 4 → Stage 6; Area corrected 700 → 680 m² (V6 polygon); Zone corrected "East" → "Central"</v>
      </c>
    </row>
    <row r="112">
      <c r="A112">
        <v>299</v>
      </c>
      <c r="B112" t="str">
        <v>kept</v>
      </c>
      <c r="C112" t="str">
        <v>6</v>
      </c>
      <c r="D112">
        <v>680</v>
      </c>
      <c r="E112" t="str">
        <v>Central</v>
      </c>
      <c r="F112" t="str">
        <v>Stage corrected Stage 4 → Stage 6; Area corrected 740 → 680 m² (V6 polygon); Zone corrected "East" → "Central"</v>
      </c>
    </row>
    <row r="113">
      <c r="A113">
        <v>300</v>
      </c>
      <c r="B113" t="str">
        <v>kept</v>
      </c>
      <c r="C113" t="str">
        <v>6</v>
      </c>
      <c r="D113">
        <v>680</v>
      </c>
      <c r="E113" t="str">
        <v>Central</v>
      </c>
      <c r="F113" t="str">
        <v>Stage corrected Stage 4 → Stage 6; Area corrected 580 → 680 m² (V6 polygon); Zone corrected "East" → "Central"</v>
      </c>
    </row>
    <row r="114">
      <c r="A114">
        <v>301</v>
      </c>
      <c r="B114" t="str">
        <v>kept</v>
      </c>
      <c r="C114" t="str">
        <v>6</v>
      </c>
      <c r="D114">
        <v>680</v>
      </c>
      <c r="E114" t="str">
        <v>Central</v>
      </c>
      <c r="F114" t="str">
        <v>Stage corrected Stage 4 → Stage 6; Area corrected 620 → 680 m² (V6 polygon); Zone corrected "East" → "Central"</v>
      </c>
    </row>
    <row r="115">
      <c r="A115">
        <v>302</v>
      </c>
      <c r="B115" t="str">
        <v>kept</v>
      </c>
      <c r="C115" t="str">
        <v>6</v>
      </c>
      <c r="D115">
        <v>580</v>
      </c>
      <c r="E115" t="str">
        <v>Central</v>
      </c>
      <c r="F115" t="str">
        <v>Stage corrected Stage 4 → Stage 6; Area corrected 660 → 580 m² (V6 polygon); Zone corrected "East" → "Central"; Geometry amended in 08B WAPC202888 overlay</v>
      </c>
    </row>
    <row r="116">
      <c r="A116">
        <v>303</v>
      </c>
      <c r="B116" t="str">
        <v>kept</v>
      </c>
      <c r="C116" t="str">
        <v>6</v>
      </c>
      <c r="D116">
        <v>680</v>
      </c>
      <c r="E116" t="str">
        <v>Central</v>
      </c>
      <c r="F116" t="str">
        <v>Stage corrected Stage 4 → Stage 6; Area corrected 700 → 680 m² (V6 polygon); Zone corrected "East" → "Central"</v>
      </c>
    </row>
    <row r="117">
      <c r="A117">
        <v>304</v>
      </c>
      <c r="B117" t="str">
        <v>kept</v>
      </c>
      <c r="C117" t="str">
        <v>6</v>
      </c>
      <c r="D117">
        <v>600</v>
      </c>
      <c r="E117" t="str">
        <v>Central</v>
      </c>
      <c r="F117" t="str">
        <v>Stage corrected Stage 4 → Stage 6; Area corrected 740 → 600 m² (V6 polygon); Zone corrected "East" → "Central"</v>
      </c>
    </row>
    <row r="118">
      <c r="A118">
        <v>305</v>
      </c>
      <c r="B118" t="str">
        <v>kept</v>
      </c>
      <c r="C118" t="str">
        <v>6</v>
      </c>
      <c r="D118">
        <v>610</v>
      </c>
      <c r="E118" t="str">
        <v>Central</v>
      </c>
      <c r="F118" t="str">
        <v>Stage corrected Stage 4 → Stage 6; Area corrected 580 → 610 m² (V6 polygon); Zone corrected "East" → "Central"; Geometry amended in 08B WAPC202888 overlay</v>
      </c>
    </row>
    <row r="119">
      <c r="A119">
        <v>306</v>
      </c>
      <c r="B119" t="str">
        <v>kept</v>
      </c>
      <c r="C119" t="str">
        <v>6</v>
      </c>
      <c r="D119">
        <v>650</v>
      </c>
      <c r="E119" t="str">
        <v>Central</v>
      </c>
      <c r="F119" t="str">
        <v>Stage corrected Stage 4 → Stage 6; Area corrected 620 → 650 m² (V6 polygon); Zone corrected "East" → "Central"; Geometry amended in 08B WAPC202888 overlay</v>
      </c>
    </row>
    <row r="120">
      <c r="A120">
        <v>307</v>
      </c>
      <c r="B120" t="str">
        <v>kept</v>
      </c>
      <c r="C120" t="str">
        <v>6</v>
      </c>
      <c r="D120">
        <v>536</v>
      </c>
      <c r="E120" t="str">
        <v>Central</v>
      </c>
      <c r="F120" t="str">
        <v>Stage corrected Stage 4 → Stage 6; Area corrected 660 → 536 m² (V6 polygon); Zone corrected "East" → "Central"; Geometry amended in 08B WAPC202888 overlay</v>
      </c>
    </row>
    <row r="121">
      <c r="A121">
        <v>352</v>
      </c>
      <c r="B121" t="str">
        <v>inserted</v>
      </c>
      <c r="C121" t="str">
        <v>7</v>
      </c>
      <c r="D121">
        <v>593</v>
      </c>
      <c r="E121" t="str">
        <v>Collins Road</v>
      </c>
      <c r="F121" t="str">
        <v>Inserted per V6 (not in V1)</v>
      </c>
    </row>
    <row r="122">
      <c r="A122">
        <v>353</v>
      </c>
      <c r="B122" t="str">
        <v>inserted</v>
      </c>
      <c r="C122" t="str">
        <v>7</v>
      </c>
      <c r="D122">
        <v>555</v>
      </c>
      <c r="E122" t="str">
        <v>Collins Road</v>
      </c>
      <c r="F122" t="str">
        <v>Inserted per V6 (not in V1)</v>
      </c>
    </row>
    <row r="123">
      <c r="A123">
        <v>354</v>
      </c>
      <c r="B123" t="str">
        <v>inserted</v>
      </c>
      <c r="C123" t="str">
        <v>7</v>
      </c>
      <c r="D123">
        <v>555</v>
      </c>
      <c r="E123" t="str">
        <v>Collins Road</v>
      </c>
      <c r="F123" t="str">
        <v>Inserted per V6 (not in V1)</v>
      </c>
    </row>
    <row r="124">
      <c r="A124">
        <v>355</v>
      </c>
      <c r="B124" t="str">
        <v>inserted</v>
      </c>
      <c r="C124" t="str">
        <v>7</v>
      </c>
      <c r="D124">
        <v>555</v>
      </c>
      <c r="E124" t="str">
        <v>Collins Road</v>
      </c>
      <c r="F124" t="str">
        <v>Inserted per V6 (not in V1)</v>
      </c>
    </row>
    <row r="125">
      <c r="A125">
        <v>356</v>
      </c>
      <c r="B125" t="str">
        <v>inserted</v>
      </c>
      <c r="C125" t="str">
        <v>7</v>
      </c>
      <c r="D125">
        <v>629</v>
      </c>
      <c r="E125" t="str">
        <v>Collins Road</v>
      </c>
      <c r="F125" t="str">
        <v>Inserted per V6 (not in V1)</v>
      </c>
    </row>
    <row r="126">
      <c r="A126">
        <v>357</v>
      </c>
      <c r="B126" t="str">
        <v>inserted</v>
      </c>
      <c r="C126" t="str">
        <v>7</v>
      </c>
      <c r="D126">
        <v>629</v>
      </c>
      <c r="E126" t="str">
        <v>Collins Road</v>
      </c>
      <c r="F126" t="str">
        <v>Inserted per V6 (not in V1)</v>
      </c>
    </row>
    <row r="127">
      <c r="A127">
        <v>358</v>
      </c>
      <c r="B127" t="str">
        <v>inserted</v>
      </c>
      <c r="C127" t="str">
        <v>7</v>
      </c>
      <c r="D127">
        <v>629</v>
      </c>
      <c r="E127" t="str">
        <v>Collins Road</v>
      </c>
      <c r="F127" t="str">
        <v>Inserted per V6 (not in V1)</v>
      </c>
    </row>
    <row r="128">
      <c r="A128">
        <v>359</v>
      </c>
      <c r="B128" t="str">
        <v>inserted</v>
      </c>
      <c r="C128" t="str">
        <v>7</v>
      </c>
      <c r="D128">
        <v>555</v>
      </c>
      <c r="E128" t="str">
        <v>Collins Road</v>
      </c>
      <c r="F128" t="str">
        <v>Inserted per V6 (not in V1)</v>
      </c>
    </row>
    <row r="129">
      <c r="A129">
        <v>360</v>
      </c>
      <c r="B129" t="str">
        <v>inserted</v>
      </c>
      <c r="C129" t="str">
        <v>7</v>
      </c>
      <c r="D129">
        <v>555</v>
      </c>
      <c r="E129" t="str">
        <v>Collins Road</v>
      </c>
      <c r="F129" t="str">
        <v>Inserted per V6 (not in V1)</v>
      </c>
    </row>
    <row r="130">
      <c r="A130">
        <v>361</v>
      </c>
      <c r="B130" t="str">
        <v>inserted</v>
      </c>
      <c r="C130" t="str">
        <v>7</v>
      </c>
      <c r="D130">
        <v>555</v>
      </c>
      <c r="E130" t="str">
        <v>Collins Road</v>
      </c>
      <c r="F130" t="str">
        <v>Inserted per V6 (not in V1)</v>
      </c>
    </row>
    <row r="131">
      <c r="A131">
        <v>362</v>
      </c>
      <c r="B131" t="str">
        <v>inserted</v>
      </c>
      <c r="C131" t="str">
        <v>7</v>
      </c>
      <c r="D131">
        <v>555</v>
      </c>
      <c r="E131" t="str">
        <v>Collins Road</v>
      </c>
      <c r="F131" t="str">
        <v>Inserted per V6 (not in V1)</v>
      </c>
    </row>
    <row r="132">
      <c r="A132">
        <v>363</v>
      </c>
      <c r="B132" t="str">
        <v>inserted</v>
      </c>
      <c r="C132" t="str">
        <v>7</v>
      </c>
      <c r="D132">
        <v>555</v>
      </c>
      <c r="E132" t="str">
        <v>Collins Road</v>
      </c>
      <c r="F132" t="str">
        <v>Inserted per V6 (not in V1)</v>
      </c>
    </row>
    <row r="133">
      <c r="A133">
        <v>364</v>
      </c>
      <c r="B133" t="str">
        <v>inserted</v>
      </c>
      <c r="C133" t="str">
        <v>7</v>
      </c>
      <c r="D133">
        <v>629</v>
      </c>
      <c r="E133" t="str">
        <v>Collins Road</v>
      </c>
      <c r="F133" t="str">
        <v>Inserted per V6 (not in V1)</v>
      </c>
    </row>
    <row r="134">
      <c r="A134">
        <v>365</v>
      </c>
      <c r="B134" t="str">
        <v>inserted</v>
      </c>
      <c r="C134" t="str">
        <v>7</v>
      </c>
      <c r="D134">
        <v>629</v>
      </c>
      <c r="E134" t="str">
        <v>Collins Road</v>
      </c>
      <c r="F134" t="str">
        <v>Inserted per V6 (not in V1)</v>
      </c>
    </row>
    <row r="135">
      <c r="A135">
        <v>366</v>
      </c>
      <c r="B135" t="str">
        <v>inserted</v>
      </c>
      <c r="C135" t="str">
        <v>7</v>
      </c>
      <c r="D135">
        <v>629</v>
      </c>
      <c r="E135" t="str">
        <v>Collins Road</v>
      </c>
      <c r="F135" t="str">
        <v>Inserted per V6 (not in V1)</v>
      </c>
    </row>
    <row r="136">
      <c r="A136">
        <v>367</v>
      </c>
      <c r="B136" t="str">
        <v>inserted</v>
      </c>
      <c r="C136" t="str">
        <v>7</v>
      </c>
      <c r="D136">
        <v>647</v>
      </c>
      <c r="E136" t="str">
        <v>Collins Road</v>
      </c>
      <c r="F136" t="str">
        <v>Inserted per V6 (not in V1)</v>
      </c>
    </row>
    <row r="137">
      <c r="A137">
        <v>368</v>
      </c>
      <c r="B137" t="str">
        <v>inserted</v>
      </c>
      <c r="C137" t="str">
        <v>7</v>
      </c>
      <c r="D137">
        <v>647</v>
      </c>
      <c r="E137" t="str">
        <v>Collins Road</v>
      </c>
      <c r="F137" t="str">
        <v>Inserted per V6 (not in V1)</v>
      </c>
    </row>
    <row r="138">
      <c r="A138">
        <v>369</v>
      </c>
      <c r="B138" t="str">
        <v>inserted</v>
      </c>
      <c r="C138" t="str">
        <v>7</v>
      </c>
      <c r="D138">
        <v>647</v>
      </c>
      <c r="E138" t="str">
        <v>Collins Road</v>
      </c>
      <c r="F138" t="str">
        <v>Inserted per V6 (not in V1)</v>
      </c>
    </row>
    <row r="139">
      <c r="A139">
        <v>370</v>
      </c>
      <c r="B139" t="str">
        <v>kept</v>
      </c>
      <c r="C139" t="str">
        <v>7</v>
      </c>
      <c r="D139">
        <v>571</v>
      </c>
      <c r="E139" t="str">
        <v>Collins Road</v>
      </c>
      <c r="F139" t="str">
        <v>Stage corrected Stage 6 → Stage 7; Area corrected 595 → 571 m² (V6 polygon); Zone corrected "Central Upper" → "Collins Road"</v>
      </c>
    </row>
    <row r="140">
      <c r="A140">
        <v>371</v>
      </c>
      <c r="B140" t="str">
        <v>kept</v>
      </c>
      <c r="C140" t="str">
        <v>7</v>
      </c>
      <c r="D140">
        <v>571</v>
      </c>
      <c r="E140" t="str">
        <v>Collins Road</v>
      </c>
      <c r="F140" t="str">
        <v>Stage corrected Stage 6 → Stage 7; Area corrected 625 → 571 m² (V6 polygon); Zone corrected "Central Upper" → "Collins Road"</v>
      </c>
    </row>
    <row r="141">
      <c r="A141">
        <v>372</v>
      </c>
      <c r="B141" t="str">
        <v>kept</v>
      </c>
      <c r="C141" t="str">
        <v>7</v>
      </c>
      <c r="D141">
        <v>571</v>
      </c>
      <c r="E141" t="str">
        <v>Collins Road</v>
      </c>
      <c r="F141" t="str">
        <v>Stage corrected Stage 6 → Stage 7; Area corrected 655 → 571 m² (V6 polygon); Zone corrected "Central Upper" → "Collins Road"</v>
      </c>
    </row>
    <row r="142">
      <c r="A142">
        <v>373</v>
      </c>
      <c r="B142" t="str">
        <v>kept</v>
      </c>
      <c r="C142" t="str">
        <v>7</v>
      </c>
      <c r="D142">
        <v>571</v>
      </c>
      <c r="E142" t="str">
        <v>Collins Road</v>
      </c>
      <c r="F142" t="str">
        <v>Stage corrected Stage 6 → Stage 7; Area corrected 685 → 571 m² (V6 polygon); Zone corrected "Central Upper" → "Collins Road"</v>
      </c>
    </row>
    <row r="143">
      <c r="A143">
        <v>374</v>
      </c>
      <c r="B143" t="str">
        <v>kept</v>
      </c>
      <c r="C143" t="str">
        <v>7</v>
      </c>
      <c r="D143">
        <v>571</v>
      </c>
      <c r="E143" t="str">
        <v>Collins Road</v>
      </c>
      <c r="F143" t="str">
        <v>Stage corrected Stage 6 → Stage 7; Area corrected 715 → 571 m² (V6 polygon); Zone corrected "Central Upper" → "Collins Road"</v>
      </c>
    </row>
    <row r="144">
      <c r="A144">
        <v>375</v>
      </c>
      <c r="B144" t="str">
        <v>kept</v>
      </c>
      <c r="C144" t="str">
        <v>7</v>
      </c>
      <c r="D144">
        <v>647</v>
      </c>
      <c r="E144" t="str">
        <v>Collins Road</v>
      </c>
      <c r="F144" t="str">
        <v>Stage corrected Stage 6 → Stage 7; Area corrected 745 → 647 m² (V6 polygon); Zone corrected "Central Upper" → "Collins Road"</v>
      </c>
    </row>
    <row r="145">
      <c r="A145">
        <v>376</v>
      </c>
      <c r="B145" t="str">
        <v>kept</v>
      </c>
      <c r="C145" t="str">
        <v>7</v>
      </c>
      <c r="D145">
        <v>647</v>
      </c>
      <c r="E145" t="str">
        <v>Collins Road</v>
      </c>
      <c r="F145" t="str">
        <v>Stage corrected Stage 6 → Stage 7; Area corrected 595 → 647 m² (V6 polygon); Zone corrected "Central Upper" → "Collins Road"</v>
      </c>
    </row>
    <row r="146">
      <c r="A146">
        <v>377</v>
      </c>
      <c r="B146" t="str">
        <v>kept</v>
      </c>
      <c r="C146" t="str">
        <v>7</v>
      </c>
      <c r="D146">
        <v>647</v>
      </c>
      <c r="E146" t="str">
        <v>Collins Road</v>
      </c>
      <c r="F146" t="str">
        <v>Stage corrected Stage 6 → Stage 7; Area corrected 625 → 647 m² (V6 polygon); Zone corrected "Central Upper" → "Collins Road"</v>
      </c>
    </row>
    <row r="147">
      <c r="A147">
        <v>378</v>
      </c>
      <c r="B147" t="str">
        <v>kept</v>
      </c>
      <c r="C147" t="str">
        <v>7</v>
      </c>
      <c r="D147">
        <v>685</v>
      </c>
      <c r="E147" t="str">
        <v>Collins Road</v>
      </c>
      <c r="F147" t="str">
        <v>Stage corrected Stage 6 → Stage 7; Area corrected 655 → 685 m² (V6 polygon); Zone corrected "Central Upper" → "Collins Road"</v>
      </c>
    </row>
    <row r="148">
      <c r="A148">
        <v>379</v>
      </c>
      <c r="B148" t="str">
        <v>kept</v>
      </c>
      <c r="C148" t="str">
        <v>7</v>
      </c>
      <c r="D148">
        <v>818</v>
      </c>
      <c r="E148" t="str">
        <v>Collins Road</v>
      </c>
      <c r="F148" t="str">
        <v>Stage corrected Stage 6 → Stage 7; Area corrected 685 → 818 m² (V6 polygon); Zone corrected "Central Upper" → "Collins Road"; Heritage reclassification per V6</v>
      </c>
    </row>
    <row r="149">
      <c r="A149">
        <v>380</v>
      </c>
      <c r="B149" t="str">
        <v>kept</v>
      </c>
      <c r="C149" t="str">
        <v>7</v>
      </c>
      <c r="D149">
        <v>819</v>
      </c>
      <c r="E149" t="str">
        <v>Collins Road</v>
      </c>
      <c r="F149" t="str">
        <v>Stage corrected Stage 6 → Stage 7; Area corrected 715 → 819 m² (V6 polygon); Zone corrected "Central Upper" → "Collins Road"</v>
      </c>
    </row>
    <row r="150">
      <c r="A150">
        <v>349</v>
      </c>
      <c r="B150" t="str">
        <v>dropped</v>
      </c>
      <c r="C150" t="str">
        <v>—</v>
      </c>
      <c r="D150" t="str">
        <v>—</v>
      </c>
      <c r="E150" t="str">
        <v>—</v>
      </c>
      <c r="F150" t="str">
        <v>V1-only; not in V6 08B register</v>
      </c>
    </row>
    <row r="151">
      <c r="A151">
        <v>293</v>
      </c>
      <c r="B151" t="str">
        <v>dropped</v>
      </c>
      <c r="C151" t="str">
        <v>—</v>
      </c>
      <c r="D151" t="str">
        <v>—</v>
      </c>
      <c r="E151" t="str">
        <v>—</v>
      </c>
      <c r="F151" t="str">
        <v>V1-only; not in V6 08B register</v>
      </c>
    </row>
    <row r="152">
      <c r="A152">
        <v>381</v>
      </c>
      <c r="B152" t="str">
        <v>dropped</v>
      </c>
      <c r="C152" t="str">
        <v>—</v>
      </c>
      <c r="D152" t="str">
        <v>—</v>
      </c>
      <c r="E152" t="str">
        <v>—</v>
      </c>
      <c r="F152" t="str">
        <v>V1-only; not in V6 08B register</v>
      </c>
    </row>
    <row r="153">
      <c r="A153">
        <v>382</v>
      </c>
      <c r="B153" t="str">
        <v>dropped</v>
      </c>
      <c r="C153" t="str">
        <v>—</v>
      </c>
      <c r="D153" t="str">
        <v>—</v>
      </c>
      <c r="E153" t="str">
        <v>—</v>
      </c>
      <c r="F153" t="str">
        <v>V1-only; not in V6 08B register</v>
      </c>
    </row>
    <row r="154">
      <c r="A154">
        <v>383</v>
      </c>
      <c r="B154" t="str">
        <v>dropped</v>
      </c>
      <c r="C154" t="str">
        <v>—</v>
      </c>
      <c r="D154" t="str">
        <v>—</v>
      </c>
      <c r="E154" t="str">
        <v>—</v>
      </c>
      <c r="F154" t="str">
        <v>V1-only; not in V6 08B register</v>
      </c>
    </row>
    <row r="155">
      <c r="A155">
        <v>384</v>
      </c>
      <c r="B155" t="str">
        <v>dropped</v>
      </c>
      <c r="C155" t="str">
        <v>—</v>
      </c>
      <c r="D155" t="str">
        <v>—</v>
      </c>
      <c r="E155" t="str">
        <v>—</v>
      </c>
      <c r="F155" t="str">
        <v>V1-only; not in V6 08B register</v>
      </c>
    </row>
    <row r="156">
      <c r="A156">
        <v>385</v>
      </c>
      <c r="B156" t="str">
        <v>dropped</v>
      </c>
      <c r="C156" t="str">
        <v>—</v>
      </c>
      <c r="D156" t="str">
        <v>—</v>
      </c>
      <c r="E156" t="str">
        <v>—</v>
      </c>
      <c r="F156" t="str">
        <v>V1-only; not in V6 08B register</v>
      </c>
    </row>
    <row r="157">
      <c r="A157">
        <v>386</v>
      </c>
      <c r="B157" t="str">
        <v>dropped</v>
      </c>
      <c r="C157" t="str">
        <v>—</v>
      </c>
      <c r="D157" t="str">
        <v>—</v>
      </c>
      <c r="E157" t="str">
        <v>—</v>
      </c>
      <c r="F157" t="str">
        <v>V1-only; not in V6 08B register</v>
      </c>
    </row>
    <row r="158">
      <c r="A158">
        <v>387</v>
      </c>
      <c r="B158" t="str">
        <v>dropped</v>
      </c>
      <c r="C158" t="str">
        <v>—</v>
      </c>
      <c r="D158" t="str">
        <v>—</v>
      </c>
      <c r="E158" t="str">
        <v>—</v>
      </c>
      <c r="F158" t="str">
        <v>V1-only; not in V6 08B register</v>
      </c>
    </row>
    <row r="159">
      <c r="A159">
        <v>388</v>
      </c>
      <c r="B159" t="str">
        <v>dropped</v>
      </c>
      <c r="C159" t="str">
        <v>—</v>
      </c>
      <c r="D159" t="str">
        <v>—</v>
      </c>
      <c r="E159" t="str">
        <v>—</v>
      </c>
      <c r="F159" t="str">
        <v>V1-only; not in V6 08B register</v>
      </c>
    </row>
    <row r="160">
      <c r="A160">
        <v>389</v>
      </c>
      <c r="B160" t="str">
        <v>dropped</v>
      </c>
      <c r="C160" t="str">
        <v>—</v>
      </c>
      <c r="D160" t="str">
        <v>—</v>
      </c>
      <c r="E160" t="str">
        <v>—</v>
      </c>
      <c r="F160" t="str">
        <v>V1-only; not in V6 08B register</v>
      </c>
    </row>
    <row r="161">
      <c r="A161">
        <v>390</v>
      </c>
      <c r="B161" t="str">
        <v>dropped</v>
      </c>
      <c r="C161" t="str">
        <v>—</v>
      </c>
      <c r="D161" t="str">
        <v>—</v>
      </c>
      <c r="E161" t="str">
        <v>—</v>
      </c>
      <c r="F161" t="str">
        <v>V1-only; not in V6 08B register</v>
      </c>
    </row>
    <row r="162">
      <c r="A162">
        <v>391</v>
      </c>
      <c r="B162" t="str">
        <v>dropped</v>
      </c>
      <c r="C162" t="str">
        <v>—</v>
      </c>
      <c r="D162" t="str">
        <v>—</v>
      </c>
      <c r="E162" t="str">
        <v>—</v>
      </c>
      <c r="F162" t="str">
        <v>V1-only; not in V6 08B register</v>
      </c>
    </row>
    <row r="163">
      <c r="A163">
        <v>392</v>
      </c>
      <c r="B163" t="str">
        <v>dropped</v>
      </c>
      <c r="C163" t="str">
        <v>—</v>
      </c>
      <c r="D163" t="str">
        <v>—</v>
      </c>
      <c r="E163" t="str">
        <v>—</v>
      </c>
      <c r="F163" t="str">
        <v>V1-only; not in V6 08B register</v>
      </c>
    </row>
    <row r="164">
      <c r="A164">
        <v>393</v>
      </c>
      <c r="B164" t="str">
        <v>dropped</v>
      </c>
      <c r="C164" t="str">
        <v>—</v>
      </c>
      <c r="D164" t="str">
        <v>—</v>
      </c>
      <c r="E164" t="str">
        <v>—</v>
      </c>
      <c r="F164" t="str">
        <v>V1-only; not in V6 08B register</v>
      </c>
    </row>
    <row r="165">
      <c r="A165">
        <v>394</v>
      </c>
      <c r="B165" t="str">
        <v>dropped</v>
      </c>
      <c r="C165" t="str">
        <v>—</v>
      </c>
      <c r="D165" t="str">
        <v>—</v>
      </c>
      <c r="E165" t="str">
        <v>—</v>
      </c>
      <c r="F165" t="str">
        <v>V1-only; not in V6 08B register</v>
      </c>
    </row>
    <row r="166">
      <c r="A166">
        <v>395</v>
      </c>
      <c r="B166" t="str">
        <v>dropped</v>
      </c>
      <c r="C166" t="str">
        <v>—</v>
      </c>
      <c r="D166" t="str">
        <v>—</v>
      </c>
      <c r="E166" t="str">
        <v>—</v>
      </c>
      <c r="F166" t="str">
        <v>V1-only; not in V6 08B register</v>
      </c>
    </row>
    <row r="167">
      <c r="A167">
        <v>396</v>
      </c>
      <c r="B167" t="str">
        <v>dropped</v>
      </c>
      <c r="C167" t="str">
        <v>—</v>
      </c>
      <c r="D167" t="str">
        <v>—</v>
      </c>
      <c r="E167" t="str">
        <v>—</v>
      </c>
      <c r="F167" t="str">
        <v>V1-only; not in V6 08B register</v>
      </c>
    </row>
    <row r="168">
      <c r="A168">
        <v>397</v>
      </c>
      <c r="B168" t="str">
        <v>dropped</v>
      </c>
      <c r="C168" t="str">
        <v>—</v>
      </c>
      <c r="D168" t="str">
        <v>—</v>
      </c>
      <c r="E168" t="str">
        <v>—</v>
      </c>
      <c r="F168" t="str">
        <v>V1-only; not in V6 08B register</v>
      </c>
    </row>
    <row r="169">
      <c r="A169">
        <v>398</v>
      </c>
      <c r="B169" t="str">
        <v>dropped</v>
      </c>
      <c r="C169" t="str">
        <v>—</v>
      </c>
      <c r="D169" t="str">
        <v>—</v>
      </c>
      <c r="E169" t="str">
        <v>—</v>
      </c>
      <c r="F169" t="str">
        <v>V1-only; not in V6 08B register</v>
      </c>
    </row>
    <row r="170">
      <c r="A170">
        <v>399</v>
      </c>
      <c r="B170" t="str">
        <v>dropped</v>
      </c>
      <c r="C170" t="str">
        <v>—</v>
      </c>
      <c r="D170" t="str">
        <v>—</v>
      </c>
      <c r="E170" t="str">
        <v>—</v>
      </c>
      <c r="F170" t="str">
        <v>V1-only; not in V6 08B register</v>
      </c>
    </row>
    <row r="171">
      <c r="A171">
        <v>400</v>
      </c>
      <c r="B171" t="str">
        <v>dropped</v>
      </c>
      <c r="C171" t="str">
        <v>—</v>
      </c>
      <c r="D171" t="str">
        <v>—</v>
      </c>
      <c r="E171" t="str">
        <v>—</v>
      </c>
      <c r="F171" t="str">
        <v>V1-only; not in V6 08B register</v>
      </c>
    </row>
    <row r="172">
      <c r="A172">
        <v>401</v>
      </c>
      <c r="B172" t="str">
        <v>dropped</v>
      </c>
      <c r="C172" t="str">
        <v>—</v>
      </c>
      <c r="D172" t="str">
        <v>—</v>
      </c>
      <c r="E172" t="str">
        <v>—</v>
      </c>
      <c r="F172" t="str">
        <v>V1-only; not in V6 08B register</v>
      </c>
    </row>
    <row r="173">
      <c r="A173">
        <v>402</v>
      </c>
      <c r="B173" t="str">
        <v>dropped</v>
      </c>
      <c r="C173" t="str">
        <v>—</v>
      </c>
      <c r="D173" t="str">
        <v>—</v>
      </c>
      <c r="E173" t="str">
        <v>—</v>
      </c>
      <c r="F173" t="str">
        <v>V1-only; not in V6 08B register</v>
      </c>
    </row>
    <row r="174">
      <c r="A174">
        <v>403</v>
      </c>
      <c r="B174" t="str">
        <v>dropped</v>
      </c>
      <c r="C174" t="str">
        <v>—</v>
      </c>
      <c r="D174" t="str">
        <v>—</v>
      </c>
      <c r="E174" t="str">
        <v>—</v>
      </c>
      <c r="F174" t="str">
        <v>V1-only; not in V6 08B register</v>
      </c>
    </row>
    <row r="175">
      <c r="A175">
        <v>404</v>
      </c>
      <c r="B175" t="str">
        <v>dropped</v>
      </c>
      <c r="C175" t="str">
        <v>—</v>
      </c>
      <c r="D175" t="str">
        <v>—</v>
      </c>
      <c r="E175" t="str">
        <v>—</v>
      </c>
      <c r="F175" t="str">
        <v>V1-only; not in V6 08B register</v>
      </c>
    </row>
    <row r="176">
      <c r="A176">
        <v>405</v>
      </c>
      <c r="B176" t="str">
        <v>dropped</v>
      </c>
      <c r="C176" t="str">
        <v>—</v>
      </c>
      <c r="D176" t="str">
        <v>—</v>
      </c>
      <c r="E176" t="str">
        <v>—</v>
      </c>
      <c r="F176" t="str">
        <v>V1-only; not in V6 08B register</v>
      </c>
    </row>
    <row r="177">
      <c r="A177">
        <v>406</v>
      </c>
      <c r="B177" t="str">
        <v>dropped</v>
      </c>
      <c r="C177" t="str">
        <v>—</v>
      </c>
      <c r="D177" t="str">
        <v>—</v>
      </c>
      <c r="E177" t="str">
        <v>—</v>
      </c>
      <c r="F177" t="str">
        <v>V1-only; not in V6 08B register</v>
      </c>
    </row>
    <row r="178">
      <c r="A178">
        <v>407</v>
      </c>
      <c r="B178" t="str">
        <v>dropped</v>
      </c>
      <c r="C178" t="str">
        <v>—</v>
      </c>
      <c r="D178" t="str">
        <v>—</v>
      </c>
      <c r="E178" t="str">
        <v>—</v>
      </c>
      <c r="F178" t="str">
        <v>V1-only; not in V6 08B register</v>
      </c>
    </row>
    <row r="179">
      <c r="A179">
        <v>408</v>
      </c>
      <c r="B179" t="str">
        <v>dropped</v>
      </c>
      <c r="C179" t="str">
        <v>—</v>
      </c>
      <c r="D179" t="str">
        <v>—</v>
      </c>
      <c r="E179" t="str">
        <v>—</v>
      </c>
      <c r="F179" t="str">
        <v>V1-only; not in V6 08B register</v>
      </c>
    </row>
    <row r="180">
      <c r="A180">
        <v>409</v>
      </c>
      <c r="B180" t="str">
        <v>dropped</v>
      </c>
      <c r="C180" t="str">
        <v>—</v>
      </c>
      <c r="D180" t="str">
        <v>—</v>
      </c>
      <c r="E180" t="str">
        <v>—</v>
      </c>
      <c r="F180" t="str">
        <v>V1-only; not in V6 08B register</v>
      </c>
    </row>
    <row r="181">
      <c r="A181">
        <v>410</v>
      </c>
      <c r="B181" t="str">
        <v>dropped</v>
      </c>
      <c r="C181" t="str">
        <v>—</v>
      </c>
      <c r="D181" t="str">
        <v>—</v>
      </c>
      <c r="E181" t="str">
        <v>—</v>
      </c>
      <c r="F181" t="str">
        <v>V1-only; not in V6 08B register</v>
      </c>
    </row>
    <row r="182">
      <c r="A182">
        <v>411</v>
      </c>
      <c r="B182" t="str">
        <v>dropped</v>
      </c>
      <c r="C182" t="str">
        <v>—</v>
      </c>
      <c r="D182" t="str">
        <v>—</v>
      </c>
      <c r="E182" t="str">
        <v>—</v>
      </c>
      <c r="F182" t="str">
        <v>V1-only; not in V6 08B register</v>
      </c>
    </row>
    <row r="183">
      <c r="A183">
        <v>412</v>
      </c>
      <c r="B183" t="str">
        <v>dropped</v>
      </c>
      <c r="C183" t="str">
        <v>—</v>
      </c>
      <c r="D183" t="str">
        <v>—</v>
      </c>
      <c r="E183" t="str">
        <v>—</v>
      </c>
      <c r="F183" t="str">
        <v>V1-only; not in V6 08B register</v>
      </c>
    </row>
    <row r="184">
      <c r="A184">
        <v>413</v>
      </c>
      <c r="B184" t="str">
        <v>dropped</v>
      </c>
      <c r="C184" t="str">
        <v>—</v>
      </c>
      <c r="D184" t="str">
        <v>—</v>
      </c>
      <c r="E184" t="str">
        <v>—</v>
      </c>
      <c r="F184" t="str">
        <v>V1-only; not in V6 08B register</v>
      </c>
    </row>
    <row r="185">
      <c r="A185">
        <v>414</v>
      </c>
      <c r="B185" t="str">
        <v>dropped</v>
      </c>
      <c r="C185" t="str">
        <v>—</v>
      </c>
      <c r="D185" t="str">
        <v>—</v>
      </c>
      <c r="E185" t="str">
        <v>—</v>
      </c>
      <c r="F185" t="str">
        <v>V1-only; not in V6 08B register</v>
      </c>
    </row>
    <row r="186">
      <c r="A186">
        <v>415</v>
      </c>
      <c r="B186" t="str">
        <v>dropped</v>
      </c>
      <c r="C186" t="str">
        <v>—</v>
      </c>
      <c r="D186" t="str">
        <v>—</v>
      </c>
      <c r="E186" t="str">
        <v>—</v>
      </c>
      <c r="F186" t="str">
        <v>V1-only; not in V6 08B register</v>
      </c>
    </row>
    <row r="187">
      <c r="A187">
        <v>416</v>
      </c>
      <c r="B187" t="str">
        <v>dropped</v>
      </c>
      <c r="C187" t="str">
        <v>—</v>
      </c>
      <c r="D187" t="str">
        <v>—</v>
      </c>
      <c r="E187" t="str">
        <v>—</v>
      </c>
      <c r="F187" t="str">
        <v>V1-only; not in V6 08B register</v>
      </c>
    </row>
    <row r="188">
      <c r="A188">
        <v>417</v>
      </c>
      <c r="B188" t="str">
        <v>dropped</v>
      </c>
      <c r="C188" t="str">
        <v>—</v>
      </c>
      <c r="D188" t="str">
        <v>—</v>
      </c>
      <c r="E188" t="str">
        <v>—</v>
      </c>
      <c r="F188" t="str">
        <v>V1-only; not in V6 08B register</v>
      </c>
    </row>
    <row r="189">
      <c r="A189">
        <v>418</v>
      </c>
      <c r="B189" t="str">
        <v>dropped</v>
      </c>
      <c r="C189" t="str">
        <v>—</v>
      </c>
      <c r="D189" t="str">
        <v>—</v>
      </c>
      <c r="E189" t="str">
        <v>—</v>
      </c>
      <c r="F189" t="str">
        <v>V1-only; not in V6 08B register</v>
      </c>
    </row>
    <row r="190">
      <c r="A190">
        <v>419</v>
      </c>
      <c r="B190" t="str">
        <v>dropped</v>
      </c>
      <c r="C190" t="str">
        <v>—</v>
      </c>
      <c r="D190" t="str">
        <v>—</v>
      </c>
      <c r="E190" t="str">
        <v>—</v>
      </c>
      <c r="F190" t="str">
        <v>V1-only; not in V6 08B register</v>
      </c>
    </row>
    <row r="191">
      <c r="A191">
        <v>420</v>
      </c>
      <c r="B191" t="str">
        <v>dropped</v>
      </c>
      <c r="C191" t="str">
        <v>—</v>
      </c>
      <c r="D191" t="str">
        <v>—</v>
      </c>
      <c r="E191" t="str">
        <v>—</v>
      </c>
      <c r="F191" t="str">
        <v>V1-only; not in V6 08B register</v>
      </c>
    </row>
    <row r="192">
      <c r="A192">
        <v>421</v>
      </c>
      <c r="B192" t="str">
        <v>dropped</v>
      </c>
      <c r="C192" t="str">
        <v>—</v>
      </c>
      <c r="D192" t="str">
        <v>—</v>
      </c>
      <c r="E192" t="str">
        <v>—</v>
      </c>
      <c r="F192" t="str">
        <v>V1-only; not in V6 08B register</v>
      </c>
    </row>
    <row r="193">
      <c r="A193">
        <v>422</v>
      </c>
      <c r="B193" t="str">
        <v>dropped</v>
      </c>
      <c r="C193" t="str">
        <v>—</v>
      </c>
      <c r="D193" t="str">
        <v>—</v>
      </c>
      <c r="E193" t="str">
        <v>—</v>
      </c>
      <c r="F193" t="str">
        <v>V1-only; not in V6 08B register</v>
      </c>
    </row>
    <row r="194">
      <c r="A194">
        <v>423</v>
      </c>
      <c r="B194" t="str">
        <v>dropped</v>
      </c>
      <c r="C194" t="str">
        <v>—</v>
      </c>
      <c r="D194" t="str">
        <v>—</v>
      </c>
      <c r="E194" t="str">
        <v>—</v>
      </c>
      <c r="F194" t="str">
        <v>V1-only; not in V6 08B register</v>
      </c>
    </row>
    <row r="195">
      <c r="A195">
        <v>424</v>
      </c>
      <c r="B195" t="str">
        <v>dropped</v>
      </c>
      <c r="C195" t="str">
        <v>—</v>
      </c>
      <c r="D195" t="str">
        <v>—</v>
      </c>
      <c r="E195" t="str">
        <v>—</v>
      </c>
      <c r="F195" t="str">
        <v>V1-only; not in V6 08B register</v>
      </c>
    </row>
  </sheetData>
  <ignoredErrors>
    <ignoredError numberStoredAsText="1" sqref="A1:F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Lot_Allocation_Master</vt:lpstr>
      <vt:lpstr>Stage_Pricing_Ladder</vt:lpstr>
      <vt:lpstr>Offtaker_Summary</vt:lpstr>
      <vt:lpstr>Dwelling_Types</vt:lpstr>
      <vt:lpstr>Audit_Log</vt:lpstr>
      <vt:lpstr>DA_Reconciliation_Log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2026-05-15T10:28:37Z</dcterms:created>
  <dcterms:modified xsi:type="dcterms:W3CDTF">2026-05-15T12:35:17Z</dcterms:modified>
  <cp:lastModifiedBy>Dennis McMahon</cp:lastModifiedBy>
  <cp:revision>0</cp:revision>
  <dc:creator>openpyxl</dc:creator>
  <dc:language>en-US</dc:language>
</cp:coreProperties>
</file>